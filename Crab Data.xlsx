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filterPrivacy="1" codeName="ThisWorkbook"/>
  <xr:revisionPtr revIDLastSave="0" documentId="8_{CFF26D56-94B2-464B-AA82-621B85D65FDC}" xr6:coauthVersionLast="47" xr6:coauthVersionMax="47" xr10:uidLastSave="{00000000-0000-0000-0000-000000000000}"/>
  <bookViews>
    <workbookView xWindow="1200" yWindow="740" windowWidth="28200" windowHeight="16240" firstSheet="4" activeTab="4" xr2:uid="{00000000-000D-0000-FFFF-FFFF00000000}"/>
  </bookViews>
  <sheets>
    <sheet name="Project timeline" sheetId="1" r:id="rId1"/>
    <sheet name="Tasks" sheetId="4" r:id="rId2"/>
    <sheet name="PilotData" sheetId="9" r:id="rId3"/>
    <sheet name="Crab Data" sheetId="5" r:id="rId4"/>
    <sheet name="MPData" sheetId="6" r:id="rId5"/>
    <sheet name="calcs" sheetId="2" state="hidden" r:id="rId6"/>
  </sheets>
  <definedNames>
    <definedName name="DayRails">StartDateWindow+ROW('Project timeline'!$1:$9)-1</definedName>
    <definedName name="GridCalc" localSheetId="2">IFERROR(calcs!$A1/SUMPRODUCT( (Activities[Id]=calcs!$C1)*(Activities[Start]&lt;=calcs!A$31)*((Activities[End]&gt;=calcs!A$31)+(LEN(Activities[End])=0)*(Activities[Start]=calcs!A$31)) ),NA())</definedName>
    <definedName name="GridCalc">IFERROR(calcs!$A1/SUMPRODUCT( (Activities[Id]=calcs!$C1)*(Activities[Start]&lt;=calcs!A$31)*((Activities[End]&gt;=calcs!A$31)+(LEN(Activities[End])=0)*(Activities[Start]=calcs!A$31)) ),NA())</definedName>
    <definedName name="_xlnm.Print_Titles" localSheetId="0">'Project timeline'!$6:$6</definedName>
    <definedName name="_xlnm.Print_Titles" localSheetId="1">Tasks!$2:$2</definedName>
    <definedName name="RowTitleRegion1..D3">'Project timeline'!$D$2</definedName>
    <definedName name="StartDate">calcs!$D$28</definedName>
    <definedName name="StartDateWindow">calcs!$D$25</definedName>
    <definedName name="Title1" localSheetId="2">Activities[[#Headers],[Deadline ]]</definedName>
    <definedName name="Title1">Activities[[#Headers],[Deadline ]]</definedName>
    <definedName name="WindowDays">calcs!$D$29</definedName>
    <definedName name="WindowOffset">calcs!$D$26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3" i="6" l="1"/>
  <c r="D1" i="6" a="1"/>
  <c r="K98" i="6"/>
  <c r="I95" i="6"/>
  <c r="F89" i="6"/>
  <c r="F90" i="6"/>
  <c r="F91" i="6"/>
  <c r="F92" i="6"/>
  <c r="F93" i="6"/>
  <c r="F94" i="6"/>
  <c r="F95" i="6"/>
  <c r="F96" i="6"/>
  <c r="F97" i="6"/>
  <c r="F98" i="6"/>
  <c r="F99" i="6"/>
  <c r="G99" i="6"/>
  <c r="F100" i="6"/>
  <c r="G100" i="6"/>
  <c r="F101" i="6"/>
  <c r="G101" i="6"/>
  <c r="F102" i="6"/>
  <c r="F103" i="6"/>
  <c r="G103" i="6"/>
  <c r="F104" i="6"/>
  <c r="F105" i="6"/>
  <c r="G105" i="6"/>
  <c r="F106" i="6"/>
  <c r="F107" i="6"/>
  <c r="G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3" i="6"/>
  <c r="F82" i="6"/>
  <c r="F84" i="6"/>
  <c r="F85" i="6"/>
  <c r="F86" i="6"/>
  <c r="F87" i="6"/>
  <c r="F88" i="6"/>
  <c r="K55" i="6"/>
  <c r="F61" i="6"/>
  <c r="F60" i="6"/>
  <c r="F57" i="6"/>
  <c r="F55" i="6"/>
  <c r="F56" i="6"/>
  <c r="F54" i="6"/>
  <c r="M5" i="6"/>
  <c r="M3" i="6"/>
  <c r="M4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M2" i="6"/>
  <c r="K2" i="6"/>
  <c r="I2" i="6"/>
  <c r="N1" i="6" a="1"/>
  <c r="N1" i="6"/>
  <c r="C1" i="6" a="1"/>
  <c r="C1" i="6"/>
  <c r="P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E22" i="5"/>
  <c r="G22" i="5"/>
  <c r="E23" i="5"/>
  <c r="G23" i="5"/>
  <c r="E24" i="5"/>
  <c r="G24" i="5"/>
  <c r="E25" i="5"/>
  <c r="G25" i="5"/>
  <c r="E26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D1" i="6"/>
  <c r="B1" i="6" a="1"/>
  <c r="B1" i="6"/>
  <c r="A1" i="6" a="1"/>
  <c r="A1" i="6"/>
  <c r="D17" i="1"/>
  <c r="E17" i="1"/>
  <c r="D5" i="2"/>
  <c r="B17" i="1"/>
  <c r="D21" i="4"/>
  <c r="F14" i="4"/>
  <c r="F38" i="4"/>
  <c r="F42" i="4"/>
  <c r="F43" i="4"/>
  <c r="F44" i="4"/>
  <c r="F34" i="4"/>
  <c r="F33" i="4"/>
  <c r="F35" i="4"/>
  <c r="F24" i="4"/>
  <c r="F22" i="4"/>
  <c r="F23" i="4"/>
  <c r="F27" i="4"/>
  <c r="F10" i="4"/>
  <c r="F16" i="4"/>
  <c r="F13" i="4"/>
  <c r="F15" i="4"/>
  <c r="F17" i="4"/>
  <c r="F28" i="4"/>
  <c r="F25" i="4"/>
  <c r="F29" i="4"/>
  <c r="F31" i="4"/>
  <c r="F37" i="4"/>
  <c r="F5" i="4"/>
  <c r="F3" i="4"/>
  <c r="F7" i="4"/>
  <c r="F6" i="4"/>
  <c r="F9" i="4"/>
  <c r="F11" i="4"/>
  <c r="F18" i="4"/>
  <c r="F19" i="4"/>
  <c r="F20" i="4"/>
  <c r="F21" i="4"/>
  <c r="F39" i="4"/>
  <c r="F40" i="4"/>
  <c r="F30" i="4"/>
  <c r="F12" i="4"/>
  <c r="F26" i="4"/>
  <c r="F4" i="4"/>
  <c r="F32" i="4"/>
  <c r="F8" i="4"/>
  <c r="F41" i="4"/>
  <c r="F36" i="4"/>
  <c r="D3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33" i="2"/>
  <c r="A34" i="2"/>
  <c r="A35" i="2"/>
  <c r="A36" i="2"/>
  <c r="A37" i="2"/>
  <c r="A38" i="2"/>
  <c r="A39" i="2"/>
  <c r="A40" i="2"/>
  <c r="E14" i="2"/>
  <c r="E13" i="2"/>
  <c r="E12" i="2"/>
  <c r="E11" i="2"/>
  <c r="E10" i="2"/>
  <c r="E9" i="2"/>
  <c r="E8" i="2"/>
  <c r="E7" i="2"/>
  <c r="E6" i="2"/>
  <c r="D28" i="2"/>
  <c r="D25" i="2"/>
  <c r="D9" i="2"/>
  <c r="D11" i="2"/>
  <c r="B24" i="1"/>
  <c r="B14" i="1"/>
  <c r="B8" i="1"/>
  <c r="B10" i="1"/>
  <c r="B22" i="1"/>
  <c r="B23" i="1"/>
  <c r="B25" i="1"/>
  <c r="B26" i="1"/>
  <c r="B9" i="1"/>
  <c r="B7" i="1"/>
  <c r="B28" i="1"/>
  <c r="B11" i="1"/>
  <c r="B18" i="1"/>
  <c r="B15" i="1"/>
  <c r="B27" i="1"/>
  <c r="B13" i="1"/>
  <c r="B20" i="1"/>
  <c r="B16" i="1"/>
  <c r="B21" i="1"/>
  <c r="B19" i="1"/>
  <c r="B12" i="1"/>
  <c r="G70" i="6"/>
  <c r="G76" i="6"/>
  <c r="G82" i="6"/>
  <c r="G90" i="6"/>
  <c r="G17" i="6"/>
  <c r="G30" i="6"/>
  <c r="G40" i="6"/>
  <c r="G22" i="6"/>
  <c r="G28" i="6"/>
  <c r="G37" i="6"/>
  <c r="G45" i="6"/>
  <c r="G57" i="6"/>
  <c r="G29" i="6"/>
  <c r="G15" i="6"/>
  <c r="G11" i="6"/>
  <c r="G10" i="6"/>
  <c r="G9" i="6"/>
  <c r="G66" i="6"/>
  <c r="G75" i="6"/>
  <c r="G83" i="6"/>
  <c r="G91" i="6"/>
  <c r="G65" i="6"/>
  <c r="G74" i="6"/>
  <c r="G85" i="6"/>
  <c r="G95" i="6"/>
  <c r="G21" i="6"/>
  <c r="G36" i="6"/>
  <c r="G46" i="6"/>
  <c r="G59" i="6"/>
  <c r="G2" i="6"/>
  <c r="G27" i="6"/>
  <c r="G73" i="6"/>
  <c r="G64" i="6"/>
  <c r="G87" i="6"/>
  <c r="G96" i="6"/>
  <c r="G97" i="6"/>
  <c r="G49" i="6"/>
  <c r="G56" i="6"/>
  <c r="G24" i="6"/>
  <c r="G34" i="6"/>
  <c r="G42" i="6"/>
  <c r="G51" i="6"/>
  <c r="G60" i="6"/>
  <c r="G8" i="6"/>
  <c r="G13" i="6"/>
  <c r="G4" i="6"/>
  <c r="G3" i="6"/>
  <c r="G72" i="6"/>
  <c r="G80" i="6"/>
  <c r="G89" i="6"/>
  <c r="G62" i="6"/>
  <c r="G71" i="6"/>
  <c r="G81" i="6"/>
  <c r="G92" i="6"/>
  <c r="G16" i="6"/>
  <c r="G23" i="6"/>
  <c r="G32" i="6"/>
  <c r="G38" i="6"/>
  <c r="G44" i="6"/>
  <c r="G50" i="6"/>
  <c r="G55" i="6"/>
  <c r="G61" i="6"/>
  <c r="G104" i="6"/>
  <c r="G113" i="6"/>
  <c r="G115" i="6"/>
  <c r="G117" i="6"/>
  <c r="G119" i="6"/>
  <c r="G121" i="6"/>
  <c r="G108" i="6"/>
  <c r="G110" i="6"/>
  <c r="G111" i="6"/>
  <c r="G14" i="6"/>
  <c r="G5" i="6"/>
  <c r="G7" i="6"/>
  <c r="G6" i="6"/>
  <c r="G69" i="6"/>
  <c r="G78" i="6"/>
  <c r="G86" i="6"/>
  <c r="G94" i="6"/>
  <c r="G68" i="6"/>
  <c r="G77" i="6"/>
  <c r="G88" i="6"/>
  <c r="G98" i="6"/>
  <c r="G67" i="6"/>
  <c r="G79" i="6"/>
  <c r="G84" i="6"/>
  <c r="G93" i="6"/>
  <c r="G12" i="6"/>
  <c r="G20" i="6"/>
  <c r="G25" i="6"/>
  <c r="G33" i="6"/>
  <c r="G43" i="6"/>
  <c r="G53" i="6"/>
  <c r="G63" i="6"/>
  <c r="G19" i="6"/>
  <c r="G31" i="6"/>
  <c r="G39" i="6"/>
  <c r="G48" i="6"/>
  <c r="G54" i="6"/>
  <c r="G18" i="6"/>
  <c r="G26" i="6"/>
  <c r="G35" i="6"/>
  <c r="G41" i="6"/>
  <c r="G47" i="6"/>
  <c r="G52" i="6"/>
  <c r="G58" i="6"/>
  <c r="G102" i="6"/>
  <c r="G106" i="6"/>
  <c r="G112" i="6"/>
  <c r="G114" i="6"/>
  <c r="G116" i="6"/>
  <c r="G118" i="6"/>
  <c r="G120" i="6"/>
  <c r="G109" i="6"/>
  <c r="E15" i="2" a="1"/>
  <c r="E15" i="2"/>
  <c r="E16" i="2" a="1"/>
  <c r="E16" i="2"/>
  <c r="E17" i="2" a="1"/>
  <c r="E17" i="2"/>
  <c r="E18" i="2" a="1"/>
  <c r="E18" i="2"/>
  <c r="E19" i="2" a="1"/>
  <c r="E19" i="2"/>
  <c r="E20" i="2" a="1"/>
  <c r="E20" i="2"/>
  <c r="E21" i="2" a="1"/>
  <c r="E21" i="2"/>
  <c r="E22" i="2" a="1"/>
  <c r="E22" i="2"/>
  <c r="E23" i="2" a="1"/>
  <c r="E23" i="2"/>
  <c r="F15" i="2"/>
  <c r="C32" i="2" s="1"/>
  <c r="F16" i="2"/>
  <c r="C33" i="2" s="1"/>
  <c r="E31" i="2"/>
  <c r="F17" i="2"/>
  <c r="C34" i="2" s="1"/>
  <c r="F18" i="2"/>
  <c r="C35" i="2" s="1"/>
  <c r="F19" i="2"/>
  <c r="C36" i="2" s="1"/>
  <c r="F20" i="2"/>
  <c r="C37" i="2" s="1"/>
  <c r="F21" i="2"/>
  <c r="C38" i="2"/>
  <c r="F23" i="2"/>
  <c r="C40" i="2"/>
  <c r="F22" i="2"/>
  <c r="C39" i="2"/>
  <c r="E43" i="2"/>
  <c r="F31" i="2"/>
  <c r="E55" i="2"/>
  <c r="F55" i="2"/>
  <c r="F43" i="2"/>
  <c r="G31" i="2"/>
  <c r="E72" i="2"/>
  <c r="E70" i="2"/>
  <c r="G55" i="2"/>
  <c r="G43" i="2"/>
  <c r="H31" i="2"/>
  <c r="F72" i="2"/>
  <c r="F70" i="2"/>
  <c r="H43" i="2"/>
  <c r="H55" i="2"/>
  <c r="I31" i="2"/>
  <c r="G72" i="2"/>
  <c r="G70" i="2"/>
  <c r="I43" i="2"/>
  <c r="J31" i="2"/>
  <c r="I55" i="2"/>
  <c r="H70" i="2"/>
  <c r="H72" i="2"/>
  <c r="J43" i="2"/>
  <c r="J55" i="2"/>
  <c r="K31" i="2"/>
  <c r="I72" i="2"/>
  <c r="I70" i="2"/>
  <c r="J70" i="2"/>
  <c r="J72" i="2"/>
  <c r="K55" i="2"/>
  <c r="K43" i="2"/>
  <c r="L31" i="2"/>
  <c r="K70" i="2"/>
  <c r="K72" i="2"/>
  <c r="L55" i="2"/>
  <c r="L43" i="2"/>
  <c r="M31" i="2"/>
  <c r="M55" i="2"/>
  <c r="N31" i="2"/>
  <c r="M43" i="2"/>
  <c r="L72" i="2"/>
  <c r="L70" i="2"/>
  <c r="O31" i="2"/>
  <c r="N55" i="2"/>
  <c r="N43" i="2"/>
  <c r="M72" i="2"/>
  <c r="M70" i="2"/>
  <c r="N72" i="2"/>
  <c r="N70" i="2"/>
  <c r="O55" i="2"/>
  <c r="O43" i="2"/>
  <c r="P31" i="2"/>
  <c r="O70" i="2"/>
  <c r="O72" i="2"/>
  <c r="Q31" i="2"/>
  <c r="P43" i="2"/>
  <c r="P55" i="2"/>
  <c r="P70" i="2"/>
  <c r="P72" i="2"/>
  <c r="R31" i="2"/>
  <c r="Q43" i="2"/>
  <c r="Q55" i="2"/>
  <c r="S31" i="2"/>
  <c r="R55" i="2"/>
  <c r="R43" i="2"/>
  <c r="Q70" i="2"/>
  <c r="Q72" i="2"/>
  <c r="R70" i="2"/>
  <c r="R72" i="2"/>
  <c r="T31" i="2"/>
  <c r="S55" i="2"/>
  <c r="S43" i="2"/>
  <c r="U31" i="2"/>
  <c r="T43" i="2"/>
  <c r="T55" i="2"/>
  <c r="S72" i="2"/>
  <c r="S70" i="2"/>
  <c r="T72" i="2"/>
  <c r="T70" i="2"/>
  <c r="U43" i="2"/>
  <c r="U55" i="2"/>
  <c r="V31" i="2"/>
  <c r="V43" i="2"/>
  <c r="W31" i="2"/>
  <c r="V55" i="2"/>
  <c r="U72" i="2"/>
  <c r="U70" i="2"/>
  <c r="V70" i="2"/>
  <c r="V72" i="2"/>
  <c r="W55" i="2"/>
  <c r="W43" i="2"/>
  <c r="X31" i="2"/>
  <c r="W70" i="2"/>
  <c r="W72" i="2"/>
  <c r="Y31" i="2"/>
  <c r="X55" i="2"/>
  <c r="X43" i="2"/>
  <c r="Y55" i="2"/>
  <c r="Z31" i="2"/>
  <c r="Y43" i="2"/>
  <c r="X70" i="2"/>
  <c r="X72" i="2"/>
  <c r="Z55" i="2"/>
  <c r="AA31" i="2"/>
  <c r="Z43" i="2"/>
  <c r="Y70" i="2"/>
  <c r="Y72" i="2"/>
  <c r="AA43" i="2"/>
  <c r="AB31" i="2"/>
  <c r="AA55" i="2"/>
  <c r="Z70" i="2"/>
  <c r="Z72" i="2"/>
  <c r="AA70" i="2"/>
  <c r="AA72" i="2"/>
  <c r="AB55" i="2"/>
  <c r="AC31" i="2"/>
  <c r="AB43" i="2"/>
  <c r="AB72" i="2"/>
  <c r="AB70" i="2"/>
  <c r="AC43" i="2"/>
  <c r="AD31" i="2"/>
  <c r="AC55" i="2"/>
  <c r="AC72" i="2"/>
  <c r="AC70" i="2"/>
  <c r="AD43" i="2"/>
  <c r="AE31" i="2"/>
  <c r="AD55" i="2"/>
  <c r="AD70" i="2"/>
  <c r="AD72" i="2"/>
  <c r="AF31" i="2"/>
  <c r="AE43" i="2"/>
  <c r="AE55" i="2"/>
  <c r="AF43" i="2"/>
  <c r="AG31" i="2"/>
  <c r="AF55" i="2"/>
  <c r="AE72" i="2"/>
  <c r="AE70" i="2"/>
  <c r="AF70" i="2"/>
  <c r="AF72" i="2"/>
  <c r="AG43" i="2"/>
  <c r="AH31" i="2"/>
  <c r="AG55" i="2"/>
  <c r="AG70" i="2"/>
  <c r="AG72" i="2"/>
  <c r="AH55" i="2"/>
  <c r="AH43" i="2"/>
  <c r="AI31" i="2"/>
  <c r="AH70" i="2"/>
  <c r="AH72" i="2"/>
  <c r="D58" i="2"/>
  <c r="D61" i="2"/>
  <c r="D59" i="2"/>
  <c r="D65" i="2"/>
  <c r="E58" i="2"/>
  <c r="E59" i="2"/>
  <c r="F58" i="2"/>
  <c r="F59" i="2"/>
  <c r="G58" i="2"/>
  <c r="G59" i="2"/>
  <c r="H58" i="2"/>
  <c r="H59" i="2"/>
  <c r="I58" i="2"/>
  <c r="I59" i="2"/>
  <c r="J58" i="2"/>
  <c r="J59" i="2"/>
  <c r="K58" i="2"/>
  <c r="K59" i="2"/>
  <c r="L58" i="2"/>
  <c r="L59" i="2"/>
  <c r="M58" i="2"/>
  <c r="M59" i="2"/>
  <c r="N58" i="2"/>
  <c r="N59" i="2"/>
  <c r="O58" i="2"/>
  <c r="O59" i="2"/>
  <c r="P58" i="2"/>
  <c r="P59" i="2"/>
  <c r="Q58" i="2"/>
  <c r="Q59" i="2"/>
  <c r="R58" i="2"/>
  <c r="R59" i="2"/>
  <c r="S58" i="2"/>
  <c r="S59" i="2"/>
  <c r="T58" i="2"/>
  <c r="T59" i="2"/>
  <c r="U58" i="2"/>
  <c r="U59" i="2"/>
  <c r="V58" i="2"/>
  <c r="V59" i="2"/>
  <c r="W58" i="2"/>
  <c r="W59" i="2"/>
  <c r="X58" i="2"/>
  <c r="X59" i="2"/>
  <c r="Y58" i="2"/>
  <c r="Y59" i="2"/>
  <c r="Z58" i="2"/>
  <c r="Z59" i="2"/>
  <c r="AA58" i="2"/>
  <c r="AA59" i="2"/>
  <c r="AB58" i="2"/>
  <c r="AB59" i="2"/>
  <c r="AC58" i="2"/>
  <c r="AC59" i="2"/>
  <c r="AD58" i="2"/>
  <c r="AD59" i="2"/>
  <c r="AE58" i="2"/>
  <c r="AE59" i="2"/>
  <c r="AF58" i="2"/>
  <c r="AF59" i="2"/>
  <c r="AG58" i="2"/>
  <c r="AG59" i="2"/>
  <c r="AH58" i="2"/>
  <c r="AH59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D62" i="2"/>
  <c r="D66" i="2"/>
  <c r="E61" i="2"/>
  <c r="E62" i="2"/>
  <c r="F61" i="2"/>
  <c r="F62" i="2"/>
  <c r="G61" i="2"/>
  <c r="G62" i="2"/>
  <c r="H61" i="2"/>
  <c r="H62" i="2"/>
  <c r="I61" i="2"/>
  <c r="I62" i="2"/>
  <c r="J61" i="2"/>
  <c r="J62" i="2"/>
  <c r="K61" i="2"/>
  <c r="K62" i="2"/>
  <c r="L61" i="2"/>
  <c r="L62" i="2"/>
  <c r="M61" i="2"/>
  <c r="M62" i="2"/>
  <c r="N61" i="2"/>
  <c r="N62" i="2"/>
  <c r="O61" i="2"/>
  <c r="O62" i="2"/>
  <c r="P61" i="2"/>
  <c r="P62" i="2"/>
  <c r="Q61" i="2"/>
  <c r="Q62" i="2"/>
  <c r="R61" i="2"/>
  <c r="R62" i="2"/>
  <c r="S61" i="2"/>
  <c r="S62" i="2"/>
  <c r="T61" i="2"/>
  <c r="T62" i="2"/>
  <c r="U61" i="2"/>
  <c r="U62" i="2"/>
  <c r="V61" i="2"/>
  <c r="V62" i="2"/>
  <c r="W61" i="2"/>
  <c r="W62" i="2"/>
  <c r="X61" i="2"/>
  <c r="X62" i="2"/>
  <c r="Y61" i="2"/>
  <c r="Y62" i="2"/>
  <c r="Z61" i="2"/>
  <c r="Z62" i="2"/>
  <c r="AA61" i="2"/>
  <c r="AA62" i="2"/>
  <c r="AB61" i="2"/>
  <c r="AB62" i="2"/>
  <c r="AC61" i="2"/>
  <c r="AC62" i="2"/>
  <c r="AD61" i="2"/>
  <c r="AD62" i="2"/>
  <c r="AE61" i="2"/>
  <c r="AE62" i="2"/>
  <c r="AF61" i="2"/>
  <c r="AF62" i="2"/>
  <c r="AG61" i="2"/>
  <c r="AG62" i="2"/>
  <c r="AH61" i="2"/>
  <c r="AH62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E56" i="2" l="1"/>
  <c r="AB56" i="2"/>
  <c r="W56" i="2"/>
  <c r="AH56" i="2"/>
  <c r="X56" i="2"/>
  <c r="Q56" i="2"/>
  <c r="N56" i="2"/>
  <c r="K56" i="2"/>
  <c r="I56" i="2"/>
  <c r="G56" i="2"/>
  <c r="E56" i="2"/>
  <c r="T56" i="2"/>
  <c r="S56" i="2"/>
  <c r="U56" i="2"/>
  <c r="V56" i="2"/>
  <c r="P56" i="2"/>
  <c r="F56" i="2"/>
  <c r="H56" i="2"/>
  <c r="J56" i="2"/>
  <c r="L56" i="2"/>
  <c r="M56" i="2"/>
  <c r="O56" i="2"/>
  <c r="R56" i="2"/>
  <c r="AF56" i="2"/>
  <c r="AC56" i="2"/>
  <c r="Y56" i="2"/>
  <c r="AG56" i="2"/>
  <c r="AD56" i="2"/>
  <c r="AA56" i="2"/>
  <c r="Z56" i="2"/>
  <c r="AF32" i="2"/>
  <c r="AA32" i="2"/>
  <c r="D32" i="2"/>
  <c r="X32" i="2"/>
  <c r="W32" i="2"/>
  <c r="M32" i="2"/>
  <c r="K32" i="2"/>
  <c r="I32" i="2"/>
  <c r="F32" i="2"/>
  <c r="T32" i="2"/>
  <c r="AD32" i="2"/>
  <c r="AE32" i="2"/>
  <c r="AD44" i="2" s="1"/>
  <c r="O32" i="2"/>
  <c r="P32" i="2"/>
  <c r="O44" i="2" s="1"/>
  <c r="AH32" i="2"/>
  <c r="AI32" i="2"/>
  <c r="AH44" i="2" s="1"/>
  <c r="AB32" i="2"/>
  <c r="AA44" i="2" s="1"/>
  <c r="AC32" i="2"/>
  <c r="AB44" i="2" s="1"/>
  <c r="Y32" i="2"/>
  <c r="X44" i="2" s="1"/>
  <c r="Z32" i="2"/>
  <c r="S32" i="2"/>
  <c r="N32" i="2"/>
  <c r="L32" i="2"/>
  <c r="J32" i="2"/>
  <c r="H32" i="2"/>
  <c r="G32" i="2"/>
  <c r="R32" i="2"/>
  <c r="Q32" i="2"/>
  <c r="E32" i="2"/>
  <c r="C44" i="2"/>
  <c r="D44" i="2" s="1"/>
  <c r="V32" i="2"/>
  <c r="U32" i="2"/>
  <c r="AG32" i="2"/>
  <c r="Y33" i="2"/>
  <c r="W33" i="2"/>
  <c r="O33" i="2"/>
  <c r="M33" i="2"/>
  <c r="K33" i="2"/>
  <c r="I33" i="2"/>
  <c r="G33" i="2"/>
  <c r="R33" i="2"/>
  <c r="E33" i="2"/>
  <c r="U33" i="2"/>
  <c r="T33" i="2"/>
  <c r="AA33" i="2"/>
  <c r="AB33" i="2"/>
  <c r="AA45" i="2" s="1"/>
  <c r="C45" i="2"/>
  <c r="D45" i="2" s="1"/>
  <c r="D33" i="2"/>
  <c r="AH33" i="2"/>
  <c r="AI33" i="2"/>
  <c r="AD33" i="2"/>
  <c r="AC33" i="2"/>
  <c r="AB45" i="2" s="1"/>
  <c r="Z33" i="2"/>
  <c r="Y45" i="2" s="1"/>
  <c r="X33" i="2"/>
  <c r="W45" i="2" s="1"/>
  <c r="S33" i="2"/>
  <c r="R45" i="2" s="1"/>
  <c r="N33" i="2"/>
  <c r="M45" i="2" s="1"/>
  <c r="L33" i="2"/>
  <c r="K45" i="2" s="1"/>
  <c r="J33" i="2"/>
  <c r="I45" i="2" s="1"/>
  <c r="H33" i="2"/>
  <c r="G45" i="2" s="1"/>
  <c r="F33" i="2"/>
  <c r="Q33" i="2"/>
  <c r="V33" i="2"/>
  <c r="AF33" i="2"/>
  <c r="AG33" i="2"/>
  <c r="AE33" i="2"/>
  <c r="P33" i="2"/>
  <c r="H34" i="2"/>
  <c r="G34" i="2"/>
  <c r="F34" i="2"/>
  <c r="S34" i="2"/>
  <c r="R34" i="2"/>
  <c r="Q34" i="2"/>
  <c r="E34" i="2"/>
  <c r="D34" i="2"/>
  <c r="V34" i="2"/>
  <c r="U34" i="2"/>
  <c r="AF34" i="2"/>
  <c r="P34" i="2"/>
  <c r="AC34" i="2"/>
  <c r="Z34" i="2"/>
  <c r="AB34" i="2"/>
  <c r="Y34" i="2"/>
  <c r="O34" i="2"/>
  <c r="M34" i="2"/>
  <c r="K34" i="2"/>
  <c r="I34" i="2"/>
  <c r="H46" i="2" s="1"/>
  <c r="AG34" i="2"/>
  <c r="AF46" i="2" s="1"/>
  <c r="T34" i="2"/>
  <c r="S46" i="2" s="1"/>
  <c r="AE34" i="2"/>
  <c r="C46" i="2"/>
  <c r="D46" i="2" s="1"/>
  <c r="AI34" i="2"/>
  <c r="AH34" i="2"/>
  <c r="AG46" i="2" s="1"/>
  <c r="AD34" i="2"/>
  <c r="AC46" i="2" s="1"/>
  <c r="W34" i="2"/>
  <c r="V46" i="2" s="1"/>
  <c r="AA34" i="2"/>
  <c r="Z46" i="2" s="1"/>
  <c r="X34" i="2"/>
  <c r="N34" i="2"/>
  <c r="M46" i="2" s="1"/>
  <c r="L34" i="2"/>
  <c r="K46" i="2" s="1"/>
  <c r="J34" i="2"/>
  <c r="I46" i="2" s="1"/>
  <c r="AI35" i="2"/>
  <c r="AH35" i="2"/>
  <c r="AD35" i="2"/>
  <c r="AC35" i="2"/>
  <c r="AF35" i="2"/>
  <c r="Z35" i="2"/>
  <c r="Y35" i="2"/>
  <c r="X35" i="2"/>
  <c r="W35" i="2"/>
  <c r="P35" i="2"/>
  <c r="O35" i="2"/>
  <c r="N35" i="2"/>
  <c r="M35" i="2"/>
  <c r="L35" i="2"/>
  <c r="K47" i="2" s="1"/>
  <c r="K35" i="2"/>
  <c r="J47" i="2" s="1"/>
  <c r="J35" i="2"/>
  <c r="I47" i="2" s="1"/>
  <c r="I35" i="2"/>
  <c r="H47" i="2" s="1"/>
  <c r="H35" i="2"/>
  <c r="G47" i="2" s="1"/>
  <c r="G35" i="2"/>
  <c r="F47" i="2" s="1"/>
  <c r="F35" i="2"/>
  <c r="S35" i="2"/>
  <c r="R35" i="2"/>
  <c r="Q35" i="2"/>
  <c r="P47" i="2" s="1"/>
  <c r="C47" i="2"/>
  <c r="D47" i="2" s="1"/>
  <c r="V35" i="2"/>
  <c r="U35" i="2"/>
  <c r="AG35" i="2"/>
  <c r="T35" i="2"/>
  <c r="S47" i="2" s="1"/>
  <c r="AE35" i="2"/>
  <c r="AB35" i="2"/>
  <c r="AA35" i="2"/>
  <c r="Z47" i="2" s="1"/>
  <c r="E35" i="2"/>
  <c r="D35" i="2"/>
  <c r="AI36" i="2"/>
  <c r="AH36" i="2"/>
  <c r="AC36" i="2"/>
  <c r="X36" i="2"/>
  <c r="AF36" i="2"/>
  <c r="AE36" i="2"/>
  <c r="V36" i="2"/>
  <c r="AB36" i="2"/>
  <c r="Y36" i="2"/>
  <c r="W36" i="2"/>
  <c r="S36" i="2"/>
  <c r="O36" i="2"/>
  <c r="N36" i="2"/>
  <c r="M36" i="2"/>
  <c r="L36" i="2"/>
  <c r="K36" i="2"/>
  <c r="J36" i="2"/>
  <c r="I36" i="2"/>
  <c r="H48" i="2" s="1"/>
  <c r="H36" i="2"/>
  <c r="G48" i="2" s="1"/>
  <c r="G36" i="2"/>
  <c r="F48" i="2" s="1"/>
  <c r="F36" i="2"/>
  <c r="E48" i="2" s="1"/>
  <c r="R36" i="2"/>
  <c r="Q36" i="2"/>
  <c r="E36" i="2"/>
  <c r="U36" i="2"/>
  <c r="AG36" i="2"/>
  <c r="AD36" i="2"/>
  <c r="D36" i="2"/>
  <c r="T36" i="2"/>
  <c r="S48" i="2" s="1"/>
  <c r="P36" i="2"/>
  <c r="O48" i="2" s="1"/>
  <c r="C48" i="2"/>
  <c r="D48" i="2" s="1"/>
  <c r="Z36" i="2"/>
  <c r="AA36" i="2"/>
  <c r="Z48" i="2" s="1"/>
  <c r="AH37" i="2"/>
  <c r="W37" i="2"/>
  <c r="AB37" i="2"/>
  <c r="X37" i="2"/>
  <c r="W49" i="2" s="1"/>
  <c r="AE37" i="2"/>
  <c r="AA37" i="2"/>
  <c r="AI37" i="2"/>
  <c r="AH49" i="2" s="1"/>
  <c r="AD37" i="2"/>
  <c r="AC37" i="2"/>
  <c r="AB49" i="2" s="1"/>
  <c r="Z37" i="2"/>
  <c r="Y37" i="2"/>
  <c r="X49" i="2" s="1"/>
  <c r="S37" i="2"/>
  <c r="O37" i="2"/>
  <c r="M37" i="2"/>
  <c r="K37" i="2"/>
  <c r="I37" i="2"/>
  <c r="G37" i="2"/>
  <c r="R37" i="2"/>
  <c r="E37" i="2"/>
  <c r="U37" i="2"/>
  <c r="P37" i="2"/>
  <c r="N37" i="2"/>
  <c r="L37" i="2"/>
  <c r="J37" i="2"/>
  <c r="H37" i="2"/>
  <c r="F37" i="2"/>
  <c r="Q37" i="2"/>
  <c r="V37" i="2"/>
  <c r="AG37" i="2"/>
  <c r="T37" i="2"/>
  <c r="AF37" i="2"/>
  <c r="D37" i="2"/>
  <c r="C49" i="2"/>
  <c r="D49" i="2" s="1"/>
  <c r="V38" i="2"/>
  <c r="AD38" i="2"/>
  <c r="R38" i="2"/>
  <c r="G38" i="2"/>
  <c r="I38" i="2"/>
  <c r="K38" i="2"/>
  <c r="M38" i="2"/>
  <c r="L38" i="2"/>
  <c r="K50" i="2" s="1"/>
  <c r="O38" i="2"/>
  <c r="X38" i="2"/>
  <c r="W50" i="2" s="1"/>
  <c r="Z38" i="2"/>
  <c r="AC38" i="2"/>
  <c r="AH38" i="2"/>
  <c r="AB38" i="2"/>
  <c r="T38" i="2"/>
  <c r="AG38" i="2"/>
  <c r="D38" i="2"/>
  <c r="Q38" i="2"/>
  <c r="F38" i="2"/>
  <c r="H38" i="2"/>
  <c r="G50" i="2" s="1"/>
  <c r="J38" i="2"/>
  <c r="N38" i="2"/>
  <c r="S38" i="2"/>
  <c r="Y38" i="2"/>
  <c r="AA38" i="2"/>
  <c r="W38" i="2"/>
  <c r="AI38" i="2"/>
  <c r="E38" i="2"/>
  <c r="AE38" i="2"/>
  <c r="U38" i="2"/>
  <c r="C50" i="2"/>
  <c r="D50" i="2" s="1"/>
  <c r="AF38" i="2"/>
  <c r="AE50" i="2" s="1"/>
  <c r="P38" i="2"/>
  <c r="D40" i="2"/>
  <c r="AI40" i="2"/>
  <c r="P40" i="2"/>
  <c r="M40" i="2"/>
  <c r="J40" i="2"/>
  <c r="F40" i="2"/>
  <c r="AB40" i="2"/>
  <c r="AA52" i="2" s="1"/>
  <c r="C52" i="2"/>
  <c r="D52" i="2" s="1"/>
  <c r="AG40" i="2"/>
  <c r="AF40" i="2"/>
  <c r="Q40" i="2"/>
  <c r="P52" i="2" s="1"/>
  <c r="U40" i="2"/>
  <c r="R40" i="2"/>
  <c r="Q52" i="2" s="1"/>
  <c r="S40" i="2"/>
  <c r="R52" i="2" s="1"/>
  <c r="T40" i="2"/>
  <c r="S52" i="2" s="1"/>
  <c r="N40" i="2"/>
  <c r="M52" i="2" s="1"/>
  <c r="E40" i="2"/>
  <c r="L40" i="2"/>
  <c r="V40" i="2"/>
  <c r="U52" i="2" s="1"/>
  <c r="AA40" i="2"/>
  <c r="Z52" i="2" s="1"/>
  <c r="AC40" i="2"/>
  <c r="AB52" i="2" s="1"/>
  <c r="AD40" i="2"/>
  <c r="AC52" i="2" s="1"/>
  <c r="X40" i="2"/>
  <c r="Z40" i="2"/>
  <c r="Y52" i="2" s="1"/>
  <c r="AE40" i="2"/>
  <c r="AD52" i="2" s="1"/>
  <c r="W40" i="2"/>
  <c r="V52" i="2" s="1"/>
  <c r="Y40" i="2"/>
  <c r="K40" i="2"/>
  <c r="G40" i="2"/>
  <c r="I40" i="2"/>
  <c r="H40" i="2"/>
  <c r="G52" i="2" s="1"/>
  <c r="O40" i="2"/>
  <c r="AH40" i="2"/>
  <c r="N39" i="2"/>
  <c r="U39" i="2"/>
  <c r="Y39" i="2"/>
  <c r="P39" i="2"/>
  <c r="M39" i="2"/>
  <c r="K39" i="2"/>
  <c r="I39" i="2"/>
  <c r="G39" i="2"/>
  <c r="S39" i="2"/>
  <c r="Q39" i="2"/>
  <c r="P51" i="2" s="1"/>
  <c r="V39" i="2"/>
  <c r="U51" i="2" s="1"/>
  <c r="C51" i="2"/>
  <c r="D51" i="2" s="1"/>
  <c r="AA39" i="2"/>
  <c r="AE39" i="2"/>
  <c r="T39" i="2"/>
  <c r="S51" i="2" s="1"/>
  <c r="AI39" i="2"/>
  <c r="F39" i="2"/>
  <c r="J39" i="2"/>
  <c r="I51" i="2" s="1"/>
  <c r="AH39" i="2"/>
  <c r="W39" i="2"/>
  <c r="V51" i="2" s="1"/>
  <c r="AC39" i="2"/>
  <c r="Z39" i="2"/>
  <c r="Y51" i="2" s="1"/>
  <c r="X39" i="2"/>
  <c r="O39" i="2"/>
  <c r="N51" i="2" s="1"/>
  <c r="L39" i="2"/>
  <c r="K51" i="2" s="1"/>
  <c r="H39" i="2"/>
  <c r="G51" i="2" s="1"/>
  <c r="R39" i="2"/>
  <c r="Q51" i="2" s="1"/>
  <c r="AG39" i="2"/>
  <c r="AF39" i="2"/>
  <c r="AE51" i="2" s="1"/>
  <c r="AB39" i="2"/>
  <c r="AA51" i="2" s="1"/>
  <c r="D39" i="2"/>
  <c r="E39" i="2"/>
  <c r="AD39" i="2"/>
  <c r="AC51" i="2" s="1"/>
  <c r="E50" i="2" l="1"/>
  <c r="P50" i="2"/>
  <c r="AF50" i="2"/>
  <c r="U50" i="2"/>
  <c r="AF47" i="2"/>
  <c r="AD47" i="2"/>
  <c r="AG48" i="2"/>
  <c r="AD48" i="2"/>
  <c r="U48" i="2"/>
  <c r="W51" i="2"/>
  <c r="K49" i="2"/>
  <c r="I49" i="2"/>
  <c r="G49" i="2"/>
  <c r="E49" i="2"/>
  <c r="P49" i="2"/>
  <c r="U49" i="2"/>
  <c r="Y50" i="2"/>
  <c r="AA50" i="2"/>
  <c r="S50" i="2"/>
  <c r="O52" i="2"/>
  <c r="I52" i="2"/>
  <c r="K52" i="2"/>
  <c r="Y44" i="2"/>
  <c r="R44" i="2"/>
  <c r="T44" i="2"/>
  <c r="AF44" i="2"/>
  <c r="AG45" i="2"/>
  <c r="AG49" i="2"/>
  <c r="V49" i="2"/>
  <c r="R49" i="2"/>
  <c r="N49" i="2"/>
  <c r="AE48" i="2"/>
  <c r="N50" i="2"/>
  <c r="W46" i="2"/>
  <c r="W48" i="2"/>
  <c r="AH45" i="2"/>
  <c r="M44" i="2"/>
  <c r="K44" i="2"/>
  <c r="I44" i="2"/>
  <c r="F44" i="2"/>
  <c r="P44" i="2"/>
  <c r="E45" i="2"/>
  <c r="P45" i="2"/>
  <c r="U45" i="2"/>
  <c r="AE45" i="2"/>
  <c r="AC47" i="2"/>
  <c r="O47" i="2"/>
  <c r="L47" i="2"/>
  <c r="T47" i="2"/>
  <c r="AA48" i="2"/>
  <c r="X48" i="2"/>
  <c r="L49" i="2"/>
  <c r="I50" i="2"/>
  <c r="X52" i="2"/>
  <c r="AH51" i="2"/>
  <c r="AE44" i="2"/>
  <c r="Z44" i="2"/>
  <c r="W44" i="2"/>
  <c r="V44" i="2"/>
  <c r="L44" i="2"/>
  <c r="J44" i="2"/>
  <c r="H44" i="2"/>
  <c r="E44" i="2"/>
  <c r="S44" i="2"/>
  <c r="AC44" i="2"/>
  <c r="N44" i="2"/>
  <c r="AG44" i="2"/>
  <c r="U44" i="2"/>
  <c r="X45" i="2"/>
  <c r="V45" i="2"/>
  <c r="N45" i="2"/>
  <c r="L45" i="2"/>
  <c r="J45" i="2"/>
  <c r="H45" i="2"/>
  <c r="F45" i="2"/>
  <c r="Q45" i="2"/>
  <c r="T45" i="2"/>
  <c r="S45" i="2"/>
  <c r="Z45" i="2"/>
  <c r="AC45" i="2"/>
  <c r="J46" i="2"/>
  <c r="AD46" i="2"/>
  <c r="Y47" i="2"/>
  <c r="R47" i="2"/>
  <c r="G44" i="2"/>
  <c r="Q44" i="2"/>
  <c r="AF45" i="2"/>
  <c r="AD45" i="2"/>
  <c r="O45" i="2"/>
  <c r="G46" i="2"/>
  <c r="F46" i="2"/>
  <c r="E46" i="2"/>
  <c r="R46" i="2"/>
  <c r="Q46" i="2"/>
  <c r="P46" i="2"/>
  <c r="U46" i="2"/>
  <c r="T46" i="2"/>
  <c r="AE46" i="2"/>
  <c r="O46" i="2"/>
  <c r="AB46" i="2"/>
  <c r="Y46" i="2"/>
  <c r="AA46" i="2"/>
  <c r="X46" i="2"/>
  <c r="V48" i="2"/>
  <c r="R48" i="2"/>
  <c r="N48" i="2"/>
  <c r="M48" i="2"/>
  <c r="L48" i="2"/>
  <c r="K48" i="2"/>
  <c r="J48" i="2"/>
  <c r="I48" i="2"/>
  <c r="Q48" i="2"/>
  <c r="P48" i="2"/>
  <c r="T48" i="2"/>
  <c r="AF48" i="2"/>
  <c r="AC48" i="2"/>
  <c r="Y48" i="2"/>
  <c r="AA49" i="2"/>
  <c r="AD49" i="2"/>
  <c r="Z49" i="2"/>
  <c r="AC49" i="2"/>
  <c r="Y49" i="2"/>
  <c r="AD51" i="2"/>
  <c r="AB51" i="2"/>
  <c r="AF51" i="2"/>
  <c r="L46" i="2"/>
  <c r="AB47" i="2"/>
  <c r="V47" i="2"/>
  <c r="U47" i="2"/>
  <c r="AA47" i="2"/>
  <c r="AB48" i="2"/>
  <c r="J49" i="2"/>
  <c r="H49" i="2"/>
  <c r="F49" i="2"/>
  <c r="Q49" i="2"/>
  <c r="T49" i="2"/>
  <c r="O49" i="2"/>
  <c r="M49" i="2"/>
  <c r="AF49" i="2"/>
  <c r="S49" i="2"/>
  <c r="AE49" i="2"/>
  <c r="AC50" i="2"/>
  <c r="Q50" i="2"/>
  <c r="F50" i="2"/>
  <c r="H50" i="2"/>
  <c r="J50" i="2"/>
  <c r="L50" i="2"/>
  <c r="AB50" i="2"/>
  <c r="AG50" i="2"/>
  <c r="W52" i="2"/>
  <c r="Z51" i="2"/>
  <c r="E51" i="2"/>
  <c r="N46" i="2"/>
  <c r="AG47" i="2"/>
  <c r="W47" i="2"/>
  <c r="M47" i="2"/>
  <c r="Q47" i="2"/>
  <c r="AH48" i="2"/>
  <c r="M50" i="2"/>
  <c r="R50" i="2"/>
  <c r="X50" i="2"/>
  <c r="Z50" i="2"/>
  <c r="V50" i="2"/>
  <c r="AH50" i="2"/>
  <c r="AD50" i="2"/>
  <c r="T50" i="2"/>
  <c r="O50" i="2"/>
  <c r="AH52" i="2"/>
  <c r="L52" i="2"/>
  <c r="E52" i="2"/>
  <c r="AF52" i="2"/>
  <c r="AE52" i="2"/>
  <c r="T52" i="2"/>
  <c r="AG51" i="2"/>
  <c r="AH46" i="2"/>
  <c r="AH47" i="2"/>
  <c r="X47" i="2"/>
  <c r="N47" i="2"/>
  <c r="E47" i="2"/>
  <c r="J52" i="2"/>
  <c r="F52" i="2"/>
  <c r="H52" i="2"/>
  <c r="N52" i="2"/>
  <c r="AG52" i="2"/>
  <c r="M51" i="2"/>
  <c r="T51" i="2"/>
  <c r="X51" i="2"/>
  <c r="O51" i="2"/>
  <c r="L51" i="2"/>
  <c r="J51" i="2"/>
  <c r="H51" i="2"/>
  <c r="F51" i="2"/>
  <c r="R51" i="2"/>
  <c r="AE4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<sst xmlns="http://schemas.openxmlformats.org/spreadsheetml/2006/main" count="689" uniqueCount="287">
  <si>
    <t>T2 Project Timeline</t>
  </si>
  <si>
    <t>Start Date</t>
  </si>
  <si>
    <t>Chart showing project activities with a scrollable timeline is in this cell.</t>
  </si>
  <si>
    <t>Id</t>
  </si>
  <si>
    <t xml:space="preserve">Deadline </t>
  </si>
  <si>
    <t>Start</t>
  </si>
  <si>
    <t>End</t>
  </si>
  <si>
    <t xml:space="preserve">Notes </t>
  </si>
  <si>
    <t>Done?</t>
  </si>
  <si>
    <t>Project Start</t>
  </si>
  <si>
    <t>STAGE ONE</t>
  </si>
  <si>
    <t>Initial project proposal "lite" due</t>
  </si>
  <si>
    <t>11:00:00 PM on Canvas</t>
  </si>
  <si>
    <t>Time to consult with faculty</t>
  </si>
  <si>
    <t>11:30:00 AM -12:30:00 PM</t>
  </si>
  <si>
    <t>Initial full project proposal due</t>
  </si>
  <si>
    <t>STAGE TWO</t>
  </si>
  <si>
    <t>Informal 1 on 1 meeting with mentor</t>
  </si>
  <si>
    <t>Self-scheduled, requireed</t>
  </si>
  <si>
    <t>Formal round table meeting with mentor</t>
  </si>
  <si>
    <t>Mentor will schedule, required</t>
  </si>
  <si>
    <t>Submission of one-page update</t>
  </si>
  <si>
    <t>Methods and data analysis due</t>
  </si>
  <si>
    <t>STAGE THREE</t>
  </si>
  <si>
    <t>Initial report due for peer review</t>
  </si>
  <si>
    <t>11:00:00 PM on ComPAIR</t>
  </si>
  <si>
    <t>Peer review feedback due</t>
  </si>
  <si>
    <t>Conference abstract due</t>
  </si>
  <si>
    <t>Check in with mentor</t>
  </si>
  <si>
    <t>STAGE FOUR</t>
  </si>
  <si>
    <t>T2 Conference</t>
  </si>
  <si>
    <t>Loon Lake</t>
  </si>
  <si>
    <t>Final check-in with mentor</t>
  </si>
  <si>
    <t>Final repor due (with lettter to the editor)</t>
  </si>
  <si>
    <t>Project End</t>
  </si>
  <si>
    <t>TASK LIST</t>
  </si>
  <si>
    <t>TASKS</t>
  </si>
  <si>
    <t>START DATE</t>
  </si>
  <si>
    <t>DUE DATE</t>
  </si>
  <si>
    <t>% COMPLETE</t>
  </si>
  <si>
    <t>DONE</t>
  </si>
  <si>
    <t>NOTES</t>
  </si>
  <si>
    <t>ASSIGNED TO</t>
  </si>
  <si>
    <t>Chemicals from Guillaume</t>
  </si>
  <si>
    <t>N/A</t>
  </si>
  <si>
    <t>KOH(s) in Oli cabinets</t>
  </si>
  <si>
    <t>Both</t>
  </si>
  <si>
    <t>Meet with Dr. Harley</t>
  </si>
  <si>
    <t>3:00pm in BRC 6017</t>
  </si>
  <si>
    <t>Meet with Julie</t>
  </si>
  <si>
    <t>12:30 in Oliver Room</t>
  </si>
  <si>
    <t>Initial field work with Julie</t>
  </si>
  <si>
    <t>Meet 5:15 outside IKB facing Nest/LIFE, bring headlamp/flashlight</t>
  </si>
  <si>
    <t>Talk to Nic, Julie, Carl from Harley Lab</t>
  </si>
  <si>
    <t>RD1 Pilot</t>
  </si>
  <si>
    <t>A smaller round to test/optimize processes</t>
  </si>
  <si>
    <t>Wreck Beach Collection</t>
  </si>
  <si>
    <t>WB Dissection</t>
  </si>
  <si>
    <t>Placeholder date until scheduled</t>
  </si>
  <si>
    <t>Kits Beach Collection</t>
  </si>
  <si>
    <t>Progress Report</t>
  </si>
  <si>
    <t>WB Digestion</t>
  </si>
  <si>
    <t>WB Drying</t>
  </si>
  <si>
    <t>need filter paper</t>
  </si>
  <si>
    <t>WB Analysis</t>
  </si>
  <si>
    <t>KB Dissection</t>
  </si>
  <si>
    <t>KB Digestion</t>
  </si>
  <si>
    <t>English Bay Collection</t>
  </si>
  <si>
    <t>Lions Bay Collection</t>
  </si>
  <si>
    <t>Brunswick Beach Collection</t>
  </si>
  <si>
    <t>Porteau Cove Collection</t>
  </si>
  <si>
    <t>SB Dissection</t>
  </si>
  <si>
    <t>BB Dissection</t>
  </si>
  <si>
    <t>EB Dissection</t>
  </si>
  <si>
    <t>EB Digestion</t>
  </si>
  <si>
    <t>Methods Draft and Data Analysis</t>
  </si>
  <si>
    <t>PC Dissection</t>
  </si>
  <si>
    <t>KB Analysis</t>
  </si>
  <si>
    <t>EB Analysis</t>
  </si>
  <si>
    <t>RD 2&amp;3 Data Analysis</t>
  </si>
  <si>
    <t>LB Digestion</t>
  </si>
  <si>
    <t>BB Digestion</t>
  </si>
  <si>
    <t>PC Digestion</t>
  </si>
  <si>
    <t>BB Analysis</t>
  </si>
  <si>
    <t>PC Analysis</t>
  </si>
  <si>
    <t>RD3 Visual Analysis</t>
  </si>
  <si>
    <t>Non urban crabs (all)</t>
  </si>
  <si>
    <t>LB Analysis</t>
  </si>
  <si>
    <t>Location</t>
  </si>
  <si>
    <t>Label</t>
  </si>
  <si>
    <t>Sex</t>
  </si>
  <si>
    <t>Stomach weight (g)</t>
  </si>
  <si>
    <t>Gill weight (g)</t>
  </si>
  <si>
    <t>Date Dissected</t>
  </si>
  <si>
    <t>Comments</t>
  </si>
  <si>
    <t>Carapace length (bad data)</t>
  </si>
  <si>
    <t>WB (P)</t>
  </si>
  <si>
    <t>F,P,1</t>
  </si>
  <si>
    <t>F</t>
  </si>
  <si>
    <t>P</t>
  </si>
  <si>
    <t>M,P,2</t>
  </si>
  <si>
    <t>M</t>
  </si>
  <si>
    <t>F,P,3</t>
  </si>
  <si>
    <t>M,P,4</t>
  </si>
  <si>
    <t>M,P,5</t>
  </si>
  <si>
    <t>Pooled samples</t>
  </si>
  <si>
    <t>~1g</t>
  </si>
  <si>
    <t>&lt;1g</t>
  </si>
  <si>
    <t>Pooled all stomach samples and all gill samples</t>
  </si>
  <si>
    <t>Carapace length (mm)</t>
  </si>
  <si>
    <t>Net mass (test tube + stomach) (g)</t>
  </si>
  <si>
    <t>Empty test tube mass (g)</t>
  </si>
  <si>
    <t>Date Digested</t>
  </si>
  <si>
    <t>Urban</t>
  </si>
  <si>
    <t>Test tube + digestion sol'n</t>
  </si>
  <si>
    <t>Test tube</t>
  </si>
  <si>
    <t>Digestion sol'n</t>
  </si>
  <si>
    <t>TB</t>
  </si>
  <si>
    <t>F.TB.1</t>
  </si>
  <si>
    <t>URBAN</t>
  </si>
  <si>
    <t>M.TB.2</t>
  </si>
  <si>
    <t>Stomach maybe burst during weighing</t>
  </si>
  <si>
    <t>M.TB.3</t>
  </si>
  <si>
    <t>M.TB.4</t>
  </si>
  <si>
    <t>F.TB.5</t>
  </si>
  <si>
    <t>M.TB.6</t>
  </si>
  <si>
    <t>M.TB.7</t>
  </si>
  <si>
    <t>F.TB.8</t>
  </si>
  <si>
    <t>M.TB.9</t>
  </si>
  <si>
    <t>F.TB.10</t>
  </si>
  <si>
    <t>M.TB.11</t>
  </si>
  <si>
    <t>Caliper measurement is not the same as disection kit "ruler" gonna have to do some funky stuff</t>
  </si>
  <si>
    <t>M.TB.12</t>
  </si>
  <si>
    <t>Lowk mightve broken stomach… easier when still a bit frozen (in hindsight I don’t think I broke the stomach)</t>
  </si>
  <si>
    <t>F.TB.13</t>
  </si>
  <si>
    <t>F.TB.14</t>
  </si>
  <si>
    <t>F.TB.15</t>
  </si>
  <si>
    <t>Tiny one from when we were trying to leave the beach ASAP because of Coyote</t>
  </si>
  <si>
    <t xml:space="preserve"> </t>
  </si>
  <si>
    <t>F.TB.16</t>
  </si>
  <si>
    <t xml:space="preserve">sometimes easier to take the "teeth" out and stomach comes with </t>
  </si>
  <si>
    <t>M.TB.17</t>
  </si>
  <si>
    <t>F.TB.18</t>
  </si>
  <si>
    <t>M.TB.19</t>
  </si>
  <si>
    <t>F.TB.20</t>
  </si>
  <si>
    <t xml:space="preserve">Measured with C to F converter bc no caliper </t>
  </si>
  <si>
    <t>KB</t>
  </si>
  <si>
    <t>M.KB.1</t>
  </si>
  <si>
    <t>All below weighed with caps on; MKB 1-5 weird ? weighed with digestion sol'n in tube and subtracted estimated digestion sol'n weight (~2.1 pm 0.05 g)</t>
  </si>
  <si>
    <t>M.KB.2</t>
  </si>
  <si>
    <t>Weird</t>
  </si>
  <si>
    <t>M.KB.3</t>
  </si>
  <si>
    <t>M.KB.4</t>
  </si>
  <si>
    <t>M.KB.5</t>
  </si>
  <si>
    <t>M.KB.6</t>
  </si>
  <si>
    <t>M.KB.7</t>
  </si>
  <si>
    <t>M.KB.8</t>
  </si>
  <si>
    <t>M.KB.9</t>
  </si>
  <si>
    <t>M.KB.10</t>
  </si>
  <si>
    <t>F.KB.11</t>
  </si>
  <si>
    <t>F.KB.12</t>
  </si>
  <si>
    <t>F.KB.13</t>
  </si>
  <si>
    <t>F.KB.14</t>
  </si>
  <si>
    <t>F.KB.15</t>
  </si>
  <si>
    <t>F.KB.16</t>
  </si>
  <si>
    <t>F.KB.17</t>
  </si>
  <si>
    <t>F.KB.18</t>
  </si>
  <si>
    <t>F.KB.19</t>
  </si>
  <si>
    <t>F.KB.20</t>
  </si>
  <si>
    <t>EB</t>
  </si>
  <si>
    <t>M.EB.1</t>
  </si>
  <si>
    <t>M.EB.2</t>
  </si>
  <si>
    <t>fell on the floor while weighing :(</t>
  </si>
  <si>
    <t>M.EB.3</t>
  </si>
  <si>
    <t>M.EB.4</t>
  </si>
  <si>
    <t>M.EB.5</t>
  </si>
  <si>
    <t>M.EB.6</t>
  </si>
  <si>
    <t>M.EB.7</t>
  </si>
  <si>
    <t>M.EB.8</t>
  </si>
  <si>
    <t>M.EB.9</t>
  </si>
  <si>
    <t>M.EB.10</t>
  </si>
  <si>
    <t>F.EB.11</t>
  </si>
  <si>
    <t>F.EB.12</t>
  </si>
  <si>
    <t>F.EB.13</t>
  </si>
  <si>
    <t>F.EB.14</t>
  </si>
  <si>
    <t>F.EB.15</t>
  </si>
  <si>
    <t>F.EB.16</t>
  </si>
  <si>
    <t>F.EB.17</t>
  </si>
  <si>
    <t>Lip of test tube is chipped</t>
  </si>
  <si>
    <t>F.EB.18</t>
  </si>
  <si>
    <t>F.EB.19</t>
  </si>
  <si>
    <t>F.EB.20</t>
  </si>
  <si>
    <t>LB</t>
  </si>
  <si>
    <t>M.LB.1</t>
  </si>
  <si>
    <t>All below tall test tubes with caps on</t>
  </si>
  <si>
    <t>NON</t>
  </si>
  <si>
    <t>M.LB.2</t>
  </si>
  <si>
    <t>M.LB.3</t>
  </si>
  <si>
    <t>M.LB.4</t>
  </si>
  <si>
    <t>M.LB.5</t>
  </si>
  <si>
    <t>M.LB.6</t>
  </si>
  <si>
    <t>M.LB.7</t>
  </si>
  <si>
    <t>M.LB.8</t>
  </si>
  <si>
    <t>M.LB.9</t>
  </si>
  <si>
    <t>M.LB.10</t>
  </si>
  <si>
    <t>F.LB.11</t>
  </si>
  <si>
    <t>F.LB.12</t>
  </si>
  <si>
    <t>F.LB.13</t>
  </si>
  <si>
    <t>F.LB.14</t>
  </si>
  <si>
    <t>F.LB.15</t>
  </si>
  <si>
    <t>F.LB.16</t>
  </si>
  <si>
    <t>F.LB.17</t>
  </si>
  <si>
    <t>F.LB.18</t>
  </si>
  <si>
    <t>F.LB.19</t>
  </si>
  <si>
    <t>F.LB.20</t>
  </si>
  <si>
    <t>BB</t>
  </si>
  <si>
    <t>M.BB.1</t>
  </si>
  <si>
    <t>M.BB.2</t>
  </si>
  <si>
    <t>M.BB.3</t>
  </si>
  <si>
    <t>M.BB.4</t>
  </si>
  <si>
    <t>M.BB.5</t>
  </si>
  <si>
    <t>M.BB.6</t>
  </si>
  <si>
    <t>M.BB.7</t>
  </si>
  <si>
    <t>M.BB.8</t>
  </si>
  <si>
    <t>M.BB.9</t>
  </si>
  <si>
    <t>M.BB.10</t>
  </si>
  <si>
    <t>F.BB.11</t>
  </si>
  <si>
    <t>F.BB.12</t>
  </si>
  <si>
    <t>All below little test tubes with no caps</t>
  </si>
  <si>
    <t>F.BB.13</t>
  </si>
  <si>
    <t>F.BB.14</t>
  </si>
  <si>
    <t>F.BB.15</t>
  </si>
  <si>
    <t>F.BB.16</t>
  </si>
  <si>
    <t>F.BB.17</t>
  </si>
  <si>
    <t>F.BB.18</t>
  </si>
  <si>
    <t>F.BB.19</t>
  </si>
  <si>
    <t>F.BB.20</t>
  </si>
  <si>
    <t>PC</t>
  </si>
  <si>
    <t>M.PC.1</t>
  </si>
  <si>
    <t>All below tall tubes with caps</t>
  </si>
  <si>
    <t>M.PC.2</t>
  </si>
  <si>
    <t>M.PC.3</t>
  </si>
  <si>
    <t>M.PC.4</t>
  </si>
  <si>
    <t>M.PC.5</t>
  </si>
  <si>
    <t>M.PC.6</t>
  </si>
  <si>
    <t>M.PC.7</t>
  </si>
  <si>
    <t>M.PC.8</t>
  </si>
  <si>
    <t>M.PC.9</t>
  </si>
  <si>
    <t>M.PC.10</t>
  </si>
  <si>
    <t>F.PC.11</t>
  </si>
  <si>
    <t>F.PC.12</t>
  </si>
  <si>
    <t>F.PC.13</t>
  </si>
  <si>
    <t>F.PC.14</t>
  </si>
  <si>
    <t>F.PC.15</t>
  </si>
  <si>
    <t>F.PC.16</t>
  </si>
  <si>
    <t>F.PC.17</t>
  </si>
  <si>
    <t>F.PC.18</t>
  </si>
  <si>
    <t>F.PC.19</t>
  </si>
  <si>
    <t>F.PC.20</t>
  </si>
  <si>
    <t>Date analyzed</t>
  </si>
  <si>
    <t>Total.SMP.Per.Crab</t>
  </si>
  <si>
    <t>Total[SMP] (p/g)</t>
  </si>
  <si>
    <t>Rated.3.SMP.Per.Crab</t>
  </si>
  <si>
    <t>Rated.3.[SMP] (p/g)</t>
  </si>
  <si>
    <t>Rated.2.SMP.Per.Crab</t>
  </si>
  <si>
    <t>Rated.2.[SMP] (p/g)</t>
  </si>
  <si>
    <t>Rated.1.SMP.Per.Crab</t>
  </si>
  <si>
    <t>Rated.1.[SMP] (p/g)</t>
  </si>
  <si>
    <t>Distance.Rank</t>
  </si>
  <si>
    <t>a large ball of black and clear plastic fibres was found, smaller black fragments are likely from this ball</t>
  </si>
  <si>
    <t>big honkin fibre in this boy</t>
  </si>
  <si>
    <t>go back to this to double check</t>
  </si>
  <si>
    <t>damn that’s a lot</t>
  </si>
  <si>
    <t>Filter accidentally fell upside down</t>
  </si>
  <si>
    <t>lots of timy red fragments, so many that I didn’t bother photographing all of them cuz they likely came from 1 main one</t>
  </si>
  <si>
    <t>*** This sheet should remain hidden ***</t>
  </si>
  <si>
    <t>Today:</t>
  </si>
  <si>
    <t># of rows</t>
  </si>
  <si>
    <t>Window Activities:</t>
  </si>
  <si>
    <t>Calc Window Start</t>
  </si>
  <si>
    <t>Offset</t>
  </si>
  <si>
    <t>Window</t>
  </si>
  <si>
    <t>Position</t>
  </si>
  <si>
    <t>Series</t>
  </si>
  <si>
    <t>Activity Id</t>
  </si>
  <si>
    <t>Activity</t>
  </si>
  <si>
    <t>Current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</si>
</sst>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\ yyyy"/>
    <numFmt numFmtId="165" formatCode="&quot;Done&quot;;&quot;&quot;;&quot;&quot;"/>
  </numFmts>
  <fonts count="30"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3"/>
      <name val="Garamond"/>
      <family val="2"/>
      <scheme val="major"/>
    </font>
    <font>
      <sz val="11"/>
      <color theme="3"/>
      <name val="Calibri"/>
      <family val="2"/>
      <scheme val="minor"/>
    </font>
    <font>
      <sz val="30"/>
      <color theme="0"/>
      <name val="Garamond"/>
      <family val="2"/>
      <scheme val="major"/>
    </font>
    <font>
      <b/>
      <sz val="15"/>
      <color theme="3"/>
      <name val="Garamond"/>
      <family val="2"/>
      <scheme val="major"/>
    </font>
    <font>
      <b/>
      <sz val="11"/>
      <color theme="3"/>
      <name val="Garamond"/>
      <family val="2"/>
      <scheme val="major"/>
    </font>
    <font>
      <sz val="30"/>
      <color theme="4"/>
      <name val="Garamond"/>
      <family val="2"/>
      <scheme val="major"/>
    </font>
    <font>
      <sz val="36"/>
      <color theme="4"/>
      <name val="Garamond"/>
      <family val="2"/>
      <scheme val="major"/>
    </font>
    <font>
      <sz val="16"/>
      <color theme="3"/>
      <name val="Garamond"/>
      <family val="1"/>
      <scheme val="major"/>
    </font>
    <font>
      <sz val="16"/>
      <color theme="3"/>
      <name val="Garamond (Headings)"/>
    </font>
    <font>
      <sz val="48"/>
      <color theme="1"/>
      <name val="Garamond"/>
      <family val="1"/>
      <scheme val="major"/>
    </font>
    <font>
      <sz val="18"/>
      <color theme="1"/>
      <name val="Garamond"/>
      <family val="1"/>
      <scheme val="major"/>
    </font>
    <font>
      <sz val="13"/>
      <color theme="3"/>
      <name val="Garamond"/>
      <family val="1"/>
    </font>
    <font>
      <sz val="11"/>
      <color theme="3"/>
      <name val="Garamond"/>
      <family val="1"/>
    </font>
    <font>
      <sz val="11"/>
      <color theme="1"/>
      <name val="Garamond"/>
      <family val="1"/>
    </font>
    <font>
      <b/>
      <sz val="16"/>
      <color theme="2" tint="-0.749961851863155"/>
      <name val="Garamond"/>
      <family val="3"/>
      <scheme val="major"/>
    </font>
    <font>
      <b/>
      <sz val="12"/>
      <color theme="4" tint="-0.499984740745262"/>
      <name val="Garamond"/>
      <family val="3"/>
      <scheme val="major"/>
    </font>
    <font>
      <b/>
      <sz val="13"/>
      <color theme="3"/>
      <name val="Garamond"/>
      <family val="1"/>
    </font>
    <font>
      <b/>
      <sz val="11"/>
      <color theme="1"/>
      <name val="Garamond"/>
      <family val="1"/>
    </font>
    <font>
      <b/>
      <sz val="16"/>
      <color theme="1"/>
      <name val="Garamond"/>
      <family val="3"/>
      <scheme val="major"/>
    </font>
    <font>
      <b/>
      <sz val="12"/>
      <color theme="1"/>
      <name val="Garamond"/>
      <family val="3"/>
      <scheme val="major"/>
    </font>
    <font>
      <b/>
      <sz val="12"/>
      <color theme="1"/>
      <name val="Garamond"/>
      <family val="2"/>
      <scheme val="major"/>
    </font>
    <font>
      <sz val="12"/>
      <color theme="1"/>
      <name val="Garamond"/>
      <family val="1"/>
      <scheme val="major"/>
    </font>
    <font>
      <sz val="11"/>
      <color theme="3"/>
      <name val="Garamond"/>
      <family val="1"/>
      <scheme val="maj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color rgb="FF373545"/>
      <name val="Calibri"/>
      <family val="2"/>
      <scheme val="minor"/>
    </font>
    <font>
      <b/>
      <sz val="11"/>
      <color rgb="FF373545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39994506668294322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/>
      <bottom style="thin">
        <color theme="0" tint="-0.14996795556505021"/>
      </bottom>
      <diagonal/>
    </border>
  </borders>
  <cellStyleXfs count="22">
    <xf numFmtId="0" fontId="0" fillId="0" borderId="0">
      <alignment horizontal="left" vertical="center" wrapText="1" indent="1"/>
    </xf>
    <xf numFmtId="0" fontId="5" fillId="2" borderId="1" applyNumberFormat="0" applyProtection="0">
      <alignment horizontal="left" vertical="center"/>
    </xf>
    <xf numFmtId="0" fontId="6" fillId="0" borderId="0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2" fillId="7" borderId="0" applyNumberFormat="0" applyBorder="0" applyAlignment="0" applyProtection="0"/>
    <xf numFmtId="0" fontId="7" fillId="10" borderId="0" applyNumberFormat="0" applyAlignment="0" applyProtection="0"/>
    <xf numFmtId="9" fontId="4" fillId="0" borderId="0" applyFont="0" applyFill="0" applyBorder="0" applyAlignment="0" applyProtection="0"/>
    <xf numFmtId="165" fontId="2" fillId="0" borderId="0">
      <alignment horizontal="center" vertical="center"/>
    </xf>
    <xf numFmtId="0" fontId="1" fillId="0" borderId="0">
      <alignment horizontal="left" vertical="center" wrapText="1"/>
    </xf>
    <xf numFmtId="14" fontId="1" fillId="0" borderId="0">
      <alignment horizontal="left" vertical="center" wrapText="1"/>
    </xf>
    <xf numFmtId="0" fontId="1" fillId="0" borderId="0">
      <alignment horizontal="left" vertical="center"/>
    </xf>
    <xf numFmtId="9" fontId="1" fillId="0" borderId="0" applyFont="0" applyFill="0" applyBorder="0" applyProtection="0">
      <alignment horizontal="right" vertical="center"/>
    </xf>
    <xf numFmtId="0" fontId="18" fillId="0" borderId="4" applyNumberFormat="0" applyFill="0" applyProtection="0">
      <alignment horizontal="left" vertical="center"/>
    </xf>
    <xf numFmtId="0" fontId="17" fillId="15" borderId="0" applyNumberFormat="0" applyBorder="0" applyProtection="0">
      <alignment horizontal="left" wrapText="1"/>
    </xf>
  </cellStyleXfs>
  <cellXfs count="66">
    <xf numFmtId="0" fontId="0" fillId="0" borderId="0" xfId="0">
      <alignment horizontal="left" vertical="center" wrapText="1" indent="1"/>
    </xf>
    <xf numFmtId="14" fontId="0" fillId="0" borderId="0" xfId="0" applyNumberFormat="1">
      <alignment horizontal="left" vertical="center" wrapText="1" indent="1"/>
    </xf>
    <xf numFmtId="16" fontId="0" fillId="0" borderId="0" xfId="0" applyNumberFormat="1">
      <alignment horizontal="left" vertical="center" wrapText="1" indent="1"/>
    </xf>
    <xf numFmtId="164" fontId="0" fillId="0" borderId="0" xfId="0" applyNumberFormat="1">
      <alignment horizontal="left" vertical="center" wrapText="1" indent="1"/>
    </xf>
    <xf numFmtId="0" fontId="0" fillId="11" borderId="0" xfId="0" applyFill="1">
      <alignment horizontal="left" vertical="center" wrapText="1" indent="1"/>
    </xf>
    <xf numFmtId="0" fontId="0" fillId="11" borderId="0" xfId="0" applyFill="1" applyAlignment="1">
      <alignment vertical="center"/>
    </xf>
    <xf numFmtId="0" fontId="8" fillId="12" borderId="0" xfId="1" applyFont="1" applyFill="1" applyBorder="1">
      <alignment horizontal="left" vertical="center"/>
    </xf>
    <xf numFmtId="0" fontId="9" fillId="11" borderId="0" xfId="1" applyFont="1" applyFill="1" applyBorder="1">
      <alignment horizontal="left" vertical="center"/>
    </xf>
    <xf numFmtId="0" fontId="8" fillId="11" borderId="0" xfId="1" applyFont="1" applyFill="1" applyBorder="1">
      <alignment horizontal="left" vertical="center"/>
    </xf>
    <xf numFmtId="0" fontId="3" fillId="11" borderId="0" xfId="3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10" fillId="13" borderId="0" xfId="3" applyFont="1" applyFill="1" applyBorder="1" applyAlignment="1">
      <alignment horizontal="left" vertical="center" indent="2"/>
    </xf>
    <xf numFmtId="0" fontId="10" fillId="13" borderId="0" xfId="3" applyFont="1" applyFill="1" applyBorder="1" applyAlignment="1">
      <alignment horizontal="left" vertical="center" indent="1"/>
    </xf>
    <xf numFmtId="0" fontId="11" fillId="13" borderId="0" xfId="3" applyFont="1" applyFill="1" applyBorder="1" applyAlignment="1">
      <alignment horizontal="left" vertical="center" indent="1"/>
    </xf>
    <xf numFmtId="0" fontId="1" fillId="14" borderId="3" xfId="0" applyFont="1" applyFill="1" applyBorder="1">
      <alignment horizontal="left" vertical="center" wrapText="1" indent="1"/>
    </xf>
    <xf numFmtId="14" fontId="13" fillId="13" borderId="0" xfId="13" applyNumberFormat="1" applyFont="1" applyFill="1" applyAlignment="1">
      <alignment horizontal="left" vertical="center" indent="3"/>
    </xf>
    <xf numFmtId="0" fontId="14" fillId="0" borderId="0" xfId="0" applyFont="1" applyAlignment="1">
      <alignment horizontal="left" vertical="center" wrapText="1" indent="2"/>
    </xf>
    <xf numFmtId="14" fontId="15" fillId="0" borderId="0" xfId="0" applyNumberFormat="1" applyFont="1" applyAlignment="1">
      <alignment horizontal="left" vertical="center" indent="1"/>
    </xf>
    <xf numFmtId="0" fontId="15" fillId="0" borderId="0" xfId="0" applyFont="1">
      <alignment horizontal="left" vertical="center" wrapText="1" indent="1"/>
    </xf>
    <xf numFmtId="20" fontId="15" fillId="0" borderId="0" xfId="0" applyNumberFormat="1" applyFont="1">
      <alignment horizontal="left" vertical="center" wrapText="1" indent="1"/>
    </xf>
    <xf numFmtId="20" fontId="15" fillId="0" borderId="0" xfId="0" applyNumberFormat="1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horizontal="center" vertical="center" wrapText="1"/>
    </xf>
    <xf numFmtId="165" fontId="2" fillId="0" borderId="0" xfId="15">
      <alignment horizontal="center" vertical="center"/>
    </xf>
    <xf numFmtId="0" fontId="1" fillId="0" borderId="0" xfId="18">
      <alignment horizontal="left" vertical="center"/>
    </xf>
    <xf numFmtId="14" fontId="16" fillId="0" borderId="0" xfId="17" applyFont="1">
      <alignment horizontal="left" vertical="center" wrapText="1"/>
    </xf>
    <xf numFmtId="0" fontId="16" fillId="0" borderId="0" xfId="16" applyFont="1">
      <alignment horizontal="left" vertical="center" wrapText="1"/>
    </xf>
    <xf numFmtId="9" fontId="16" fillId="0" borderId="0" xfId="14" applyFont="1" applyBorder="1" applyAlignment="1">
      <alignment horizontal="right" vertical="center"/>
    </xf>
    <xf numFmtId="165" fontId="16" fillId="0" borderId="0" xfId="15" applyFont="1">
      <alignment horizontal="center" vertical="center"/>
    </xf>
    <xf numFmtId="9" fontId="16" fillId="0" borderId="4" xfId="14" applyFont="1" applyBorder="1" applyAlignment="1">
      <alignment horizontal="right" vertical="center"/>
    </xf>
    <xf numFmtId="0" fontId="16" fillId="0" borderId="4" xfId="16" applyFont="1" applyBorder="1">
      <alignment horizontal="left" vertical="center" wrapText="1"/>
    </xf>
    <xf numFmtId="0" fontId="19" fillId="0" borderId="0" xfId="0" applyFont="1" applyAlignment="1">
      <alignment horizontal="left" vertical="center" wrapText="1" indent="3"/>
    </xf>
    <xf numFmtId="0" fontId="15" fillId="14" borderId="0" xfId="0" applyFont="1" applyFill="1" applyAlignment="1">
      <alignment horizontal="center" vertical="center" wrapText="1"/>
    </xf>
    <xf numFmtId="20" fontId="15" fillId="0" borderId="0" xfId="0" applyNumberFormat="1" applyFont="1" applyAlignment="1">
      <alignment horizontal="center" vertical="center" wrapText="1"/>
    </xf>
    <xf numFmtId="0" fontId="17" fillId="13" borderId="0" xfId="21" applyFill="1">
      <alignment horizontal="left" wrapText="1"/>
    </xf>
    <xf numFmtId="0" fontId="21" fillId="13" borderId="0" xfId="21" applyFont="1" applyFill="1">
      <alignment horizontal="left" wrapText="1"/>
    </xf>
    <xf numFmtId="0" fontId="22" fillId="0" borderId="4" xfId="20" applyFont="1">
      <alignment horizontal="left" vertical="center"/>
    </xf>
    <xf numFmtId="14" fontId="22" fillId="0" borderId="4" xfId="20" applyNumberFormat="1" applyFont="1">
      <alignment horizontal="left" vertical="center"/>
    </xf>
    <xf numFmtId="9" fontId="22" fillId="0" borderId="4" xfId="20" applyNumberFormat="1" applyFont="1">
      <alignment horizontal="left" vertical="center"/>
    </xf>
    <xf numFmtId="0" fontId="23" fillId="0" borderId="0" xfId="2" applyFont="1" applyFill="1" applyAlignment="1">
      <alignment horizontal="left" vertical="center"/>
    </xf>
    <xf numFmtId="9" fontId="16" fillId="0" borderId="4" xfId="19" applyFont="1" applyBorder="1">
      <alignment horizontal="right" vertical="center"/>
    </xf>
    <xf numFmtId="9" fontId="16" fillId="0" borderId="0" xfId="19" applyFont="1" applyBorder="1">
      <alignment horizontal="right" vertical="center"/>
    </xf>
    <xf numFmtId="9" fontId="24" fillId="0" borderId="0" xfId="20" applyNumberFormat="1" applyFont="1" applyBorder="1" applyAlignment="1">
      <alignment horizontal="right" vertical="center"/>
    </xf>
    <xf numFmtId="165" fontId="1" fillId="0" borderId="0" xfId="15" applyFont="1">
      <alignment horizontal="center" vertical="center"/>
    </xf>
    <xf numFmtId="0" fontId="20" fillId="0" borderId="0" xfId="16" applyFont="1">
      <alignment horizontal="left" vertical="center" wrapText="1"/>
    </xf>
    <xf numFmtId="0" fontId="25" fillId="0" borderId="0" xfId="0" applyFont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0" xfId="0" applyFont="1" applyAlignment="1">
      <alignment horizontal="center" vertical="center" wrapText="1"/>
    </xf>
    <xf numFmtId="0" fontId="24" fillId="0" borderId="0" xfId="20" applyFont="1" applyBorder="1" applyAlignment="1">
      <alignment horizontal="left" vertical="center" wrapText="1"/>
    </xf>
    <xf numFmtId="0" fontId="26" fillId="0" borderId="0" xfId="0" applyFont="1">
      <alignment horizontal="left" vertical="center" wrapText="1" indent="1"/>
    </xf>
    <xf numFmtId="0" fontId="0" fillId="16" borderId="0" xfId="0" applyFill="1">
      <alignment horizontal="left" vertical="center" wrapText="1" indent="1"/>
    </xf>
    <xf numFmtId="0" fontId="0" fillId="17" borderId="0" xfId="0" applyFill="1">
      <alignment horizontal="left" vertical="center" wrapText="1" indent="1"/>
    </xf>
    <xf numFmtId="14" fontId="28" fillId="0" borderId="0" xfId="0" applyNumberFormat="1" applyFont="1">
      <alignment horizontal="left" vertical="center" wrapText="1" indent="1"/>
    </xf>
    <xf numFmtId="0" fontId="14" fillId="0" borderId="0" xfId="0" applyFont="1" applyAlignment="1">
      <alignment horizontal="left" vertical="center" wrapText="1" indent="3"/>
    </xf>
    <xf numFmtId="0" fontId="26" fillId="18" borderId="0" xfId="0" applyFont="1" applyFill="1">
      <alignment horizontal="left" vertical="center" wrapText="1" indent="1"/>
    </xf>
    <xf numFmtId="0" fontId="29" fillId="18" borderId="0" xfId="0" applyFont="1" applyFill="1">
      <alignment horizontal="left" vertical="center" wrapText="1" indent="1"/>
    </xf>
    <xf numFmtId="0" fontId="29" fillId="19" borderId="0" xfId="0" applyFont="1" applyFill="1">
      <alignment horizontal="left" vertical="center" wrapText="1" indent="1"/>
    </xf>
    <xf numFmtId="0" fontId="29" fillId="20" borderId="0" xfId="0" applyFont="1" applyFill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29" fillId="19" borderId="0" xfId="0" applyFont="1" applyFill="1" applyAlignment="1">
      <alignment horizontal="left" vertical="top" wrapText="1" indent="1"/>
    </xf>
    <xf numFmtId="0" fontId="0" fillId="18" borderId="0" xfId="0" applyFill="1">
      <alignment horizontal="left" vertical="center" wrapText="1" indent="1"/>
    </xf>
    <xf numFmtId="0" fontId="0" fillId="19" borderId="0" xfId="0" applyFill="1">
      <alignment horizontal="left" vertical="center" wrapText="1" indent="1"/>
    </xf>
    <xf numFmtId="0" fontId="0" fillId="20" borderId="0" xfId="0" applyFill="1">
      <alignment horizontal="left" vertical="center" wrapText="1" indent="1"/>
    </xf>
    <xf numFmtId="0" fontId="3" fillId="11" borderId="0" xfId="3" applyFill="1" applyBorder="1" applyAlignment="1">
      <alignment horizontal="center" vertical="center"/>
    </xf>
    <xf numFmtId="0" fontId="12" fillId="13" borderId="0" xfId="1" applyFont="1" applyFill="1" applyBorder="1" applyAlignment="1">
      <alignment horizontal="center"/>
    </xf>
    <xf numFmtId="0" fontId="13" fillId="13" borderId="0" xfId="2" applyFont="1" applyFill="1" applyAlignment="1">
      <alignment horizontal="right" vertical="center" indent="3"/>
    </xf>
  </cellXfs>
  <cellStyles count="22">
    <cellStyle name="20% - Accent3" xfId="6" builtinId="38" customBuiltin="1"/>
    <cellStyle name="20% - Accent4" xfId="10" builtinId="42" customBuiltin="1"/>
    <cellStyle name="40% - Accent3" xfId="7" builtinId="39" customBuiltin="1"/>
    <cellStyle name="40% - Accent4" xfId="11" builtinId="43" customBuiltin="1"/>
    <cellStyle name="60% - Accent3" xfId="8" builtinId="40" customBuiltin="1"/>
    <cellStyle name="60% - Accent4" xfId="12" builtinId="44" customBuiltin="1"/>
    <cellStyle name="Accent3" xfId="5" builtinId="37" customBuiltin="1"/>
    <cellStyle name="Accent4" xfId="9" builtinId="41" customBuiltin="1"/>
    <cellStyle name="Date" xfId="17" xr:uid="{55B3712A-DDB8-1746-8D32-D13630877678}"/>
    <cellStyle name="Done" xfId="15" xr:uid="{2EDE1A9D-D798-F445-ADD2-F06E11A7DB53}"/>
    <cellStyle name="Heading 1" xfId="2" builtinId="16" customBuiltin="1"/>
    <cellStyle name="Heading 1 2" xfId="20" xr:uid="{C287C6E2-1A92-3C47-B376-BA1066454E12}"/>
    <cellStyle name="Heading 2" xfId="13" builtinId="17" customBuiltin="1"/>
    <cellStyle name="Heading 3" xfId="3" builtinId="18" customBuiltin="1"/>
    <cellStyle name="Heading 4" xfId="4" builtinId="19" customBuiltin="1"/>
    <cellStyle name="Normal" xfId="0" builtinId="0" customBuiltin="1"/>
    <cellStyle name="Normal 2" xfId="18" xr:uid="{C2783D38-4961-BF4C-B2CF-26B77E5AEC10}"/>
    <cellStyle name="Percent" xfId="14" builtinId="5"/>
    <cellStyle name="Percent 2" xfId="19" xr:uid="{6A55383D-D995-0A4B-93AC-3DD1ED5CD744}"/>
    <cellStyle name="Table Text" xfId="16" xr:uid="{D64DF7B3-BD3C-684E-AED1-006C591E28B0}"/>
    <cellStyle name="Title" xfId="1" builtinId="15" customBuiltin="1"/>
    <cellStyle name="Title 2" xfId="21" xr:uid="{C149518A-1841-9E45-B147-D59A403D716F}"/>
  </cellStyles>
  <dxfs count="42"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color theme="3"/>
        <name val="Garamond"/>
        <family val="1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color theme="3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color theme="3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color theme="3"/>
        <name val="Garamond"/>
        <family val="1"/>
        <scheme val="none"/>
      </font>
    </dxf>
    <dxf>
      <font>
        <strike val="0"/>
        <outline val="0"/>
        <shadow val="0"/>
        <u val="none"/>
        <vertAlign val="baseline"/>
        <sz val="13"/>
        <color theme="3"/>
        <name val="Garamond"/>
        <family val="1"/>
        <scheme val="none"/>
      </font>
      <alignment horizontal="left" vertical="center" textRotation="0" relativeIndent="1" justifyLastLine="0" shrinkToFit="0" readingOrder="0"/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4" tint="-0.24994659260841701"/>
      </font>
      <border>
        <left/>
        <right/>
        <top/>
        <bottom style="thin">
          <color theme="0" tint="-0.14996795556505021"/>
        </bottom>
        <vertical/>
        <horizontal/>
      </border>
    </dxf>
    <dxf>
      <font>
        <b val="0"/>
        <i val="0"/>
        <color theme="3"/>
      </font>
      <border diagonalUp="0" diagonalDown="1">
        <left/>
        <right/>
        <top style="thin">
          <color theme="0" tint="-0.14996795556505021"/>
        </top>
        <bottom style="thin">
          <color theme="0" tint="-0.14996795556505021"/>
        </bottom>
        <diagonal style="thin">
          <color theme="2"/>
        </diagonal>
        <vertical/>
        <horizontal style="thin">
          <color theme="0" tint="-0.14996795556505021"/>
        </horizontal>
      </border>
    </dxf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4" tint="-0.24994659260841701"/>
      </font>
      <border>
        <left/>
        <right/>
        <top/>
        <bottom style="thin">
          <color theme="0" tint="-0.14996795556505021"/>
        </bottom>
        <vertical/>
        <horizontal/>
      </border>
    </dxf>
    <dxf>
      <font>
        <b val="0"/>
        <i val="0"/>
        <color theme="3"/>
      </font>
      <border diagonalUp="0" diagonalDown="1">
        <left/>
        <right/>
        <top style="thin">
          <color theme="0" tint="-0.14996795556505021"/>
        </top>
        <bottom style="thin">
          <color theme="0" tint="-0.14996795556505021"/>
        </bottom>
        <diagonal style="thin">
          <color theme="2"/>
        </diagonal>
        <vertical/>
        <horizontal style="thin">
          <color theme="0" tint="-0.14996795556505021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5117038483843"/>
          <bgColor theme="8"/>
        </patternFill>
      </fill>
    </dxf>
    <dxf>
      <font>
        <b/>
        <color theme="5" tint="-0.249977111117893"/>
      </font>
    </dxf>
    <dxf>
      <font>
        <b/>
        <color theme="5" tint="-0.249977111117893"/>
      </font>
    </dxf>
    <dxf>
      <font>
        <b/>
        <color theme="5" tint="-0.249977111117893"/>
      </font>
      <border>
        <top style="thin">
          <color theme="5"/>
        </top>
      </border>
    </dxf>
    <dxf>
      <font>
        <color theme="5"/>
      </font>
      <fill>
        <patternFill>
          <bgColor theme="8" tint="-9.9948118533890809E-2"/>
        </patternFill>
      </fill>
      <border>
        <bottom style="thin">
          <color theme="3"/>
        </bottom>
      </border>
    </dxf>
    <dxf>
      <font>
        <color theme="5"/>
      </font>
      <fill>
        <patternFill>
          <bgColor theme="3" tint="0.79998168889431442"/>
        </patternFill>
      </fill>
      <border>
        <top/>
        <bottom/>
        <vertical style="thin">
          <color theme="9" tint="0.79998168889431442"/>
        </vertical>
      </border>
    </dxf>
    <dxf>
      <font>
        <b/>
        <color theme="1"/>
      </font>
      <border>
        <top style="thick">
          <color theme="3"/>
        </top>
      </border>
    </dxf>
    <dxf>
      <font>
        <b/>
        <color theme="0"/>
      </font>
      <fill>
        <patternFill patternType="solid">
          <fgColor theme="8"/>
          <bgColor theme="3"/>
        </patternFill>
      </fill>
    </dxf>
    <dxf>
      <font>
        <color theme="1"/>
      </font>
      <fill>
        <patternFill>
          <bgColor theme="9"/>
        </patternFill>
      </fill>
      <border>
        <left/>
        <right/>
        <top style="thin">
          <color theme="3"/>
        </top>
        <bottom style="thin">
          <color theme="3"/>
        </bottom>
        <horizontal style="thin">
          <color theme="3"/>
        </horizontal>
      </border>
    </dxf>
    <dxf>
      <font>
        <color theme="3"/>
      </font>
      <fill>
        <patternFill>
          <bgColor theme="2"/>
        </patternFill>
      </fill>
    </dxf>
    <dxf>
      <font>
        <color theme="3"/>
      </font>
    </dxf>
    <dxf>
      <font>
        <b val="0"/>
        <i val="0"/>
        <color theme="0"/>
      </font>
      <fill>
        <patternFill patternType="solid">
          <fgColor theme="4"/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 diagonalUp="0" diagonalDown="0">
        <left/>
        <right/>
        <top/>
        <bottom/>
        <vertical style="thin">
          <color theme="3" tint="0.59996337778862885"/>
        </vertical>
        <horizontal/>
      </border>
    </dxf>
  </dxfs>
  <tableStyles count="5" defaultTableStyle="TableStyleMedium2" defaultPivotStyle="PivotStyleLight8">
    <tableStyle name="Project Timeline" pivot="0" count="4" xr9:uid="{00000000-0011-0000-FFFF-FFFF00000000}">
      <tableStyleElement type="wholeTable" dxfId="41"/>
      <tableStyleElement type="headerRow" dxfId="40"/>
      <tableStyleElement type="firstRowStripe" dxfId="39"/>
      <tableStyleElement type="secondRowStripe" dxfId="38"/>
    </tableStyle>
    <tableStyle name="TableStyleLight13 2" pivot="0" count="3" xr9:uid="{BA2E9783-23AD-514B-952C-F35C9D5B86FB}">
      <tableStyleElement type="wholeTable" dxfId="37"/>
      <tableStyleElement type="headerRow" dxfId="36"/>
      <tableStyleElement type="totalRow" dxfId="35"/>
    </tableStyle>
    <tableStyle name="TableStyleLight3 2" pivot="0" count="7" xr9:uid="{83C8348D-80F5-F040-ABDF-13BBDEF34497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Task List" pivot="0" count="4" xr9:uid="{1CE355A0-00FF-3D42-95CF-089881A46FEF}">
      <tableStyleElement type="wholeTable" dxfId="27"/>
      <tableStyleElement type="headerRow" dxfId="26"/>
      <tableStyleElement type="totalRow" dxfId="25"/>
      <tableStyleElement type="firstColumn" dxfId="24"/>
    </tableStyle>
    <tableStyle name="Task List 2" pivot="0" count="4" xr9:uid="{CD81A1ED-18AF-1F48-831A-E4EA2FE58B34}">
      <tableStyleElement type="wholeTable" dxfId="23"/>
      <tableStyleElement type="headerRow" dxfId="22"/>
      <tableStyleElement type="totalRow" dxfId="21"/>
      <tableStyleElement type="firstColumn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lineChart>
        <c:grouping val="standard"/>
        <c:varyColors val="0"/>
        <c:ser>
          <c:idx val="0"/>
          <c:order val="0"/>
          <c:tx>
            <c:strRef>
              <c:f>calcs!$B$32</c:f>
              <c:strCache>
                <c:ptCount val="1"/>
                <c:pt idx="0">
                  <c:v>1</c:v>
                </c:pt>
              </c:strCache>
            </c:strRef>
          </c:tx>
          <c:spPr>
            <a:ln w="193675" cap="sq">
              <a:solidFill>
                <a:schemeClr val="accent6"/>
              </a:solidFill>
            </a:ln>
          </c:spPr>
          <c:marker>
            <c:symbol val="square"/>
            <c:size val="14"/>
            <c:spPr>
              <a:solidFill>
                <a:schemeClr val="accent6"/>
              </a:solidFill>
              <a:ln>
                <a:noFill/>
              </a:ln>
            </c:spPr>
          </c:marker>
          <c:cat>
            <c:numRef>
              <c:f>calcs!$E$31:$AH$31</c:f>
              <c:numCache>
                <c:formatCode>m/d/yyyy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calcs!$E$32:$AH$32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5-4A80-B45A-1EC1F78D8AA5}"/>
            </c:ext>
          </c:extLst>
        </c:ser>
        <c:ser>
          <c:idx val="5"/>
          <c:order val="1"/>
          <c:tx>
            <c:strRef>
              <c:f>calcs!$D$44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calcs!$E$44:$AH$44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5-4A80-B45A-1EC1F78D8AA5}"/>
            </c:ext>
          </c:extLst>
        </c:ser>
        <c:ser>
          <c:idx val="1"/>
          <c:order val="2"/>
          <c:tx>
            <c:strRef>
              <c:f>calcs!$B$33</c:f>
              <c:strCache>
                <c:ptCount val="1"/>
                <c:pt idx="0">
                  <c:v>2</c:v>
                </c:pt>
              </c:strCache>
            </c:strRef>
          </c:tx>
          <c:spPr>
            <a:ln w="193675" cap="sq">
              <a:solidFill>
                <a:schemeClr val="accent6"/>
              </a:solidFill>
            </a:ln>
          </c:spPr>
          <c:marker>
            <c:symbol val="square"/>
            <c:size val="14"/>
            <c:spPr>
              <a:solidFill>
                <a:schemeClr val="accent6"/>
              </a:solidFill>
              <a:ln w="9525">
                <a:noFill/>
              </a:ln>
            </c:spPr>
          </c:marker>
          <c:cat>
            <c:numRef>
              <c:f>calcs!$E$31:$AH$31</c:f>
              <c:numCache>
                <c:formatCode>m/d/yyyy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calcs!$E$33:$AH$33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5-4A80-B45A-1EC1F78D8AA5}"/>
            </c:ext>
          </c:extLst>
        </c:ser>
        <c:ser>
          <c:idx val="6"/>
          <c:order val="3"/>
          <c:tx>
            <c:strRef>
              <c:f>calcs!$D$45</c:f>
              <c:strCache>
                <c:ptCount val="1"/>
                <c:pt idx="0">
                  <c:v>#N/A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calcs!$E$45:$AH$45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5-4A80-B45A-1EC1F78D8AA5}"/>
            </c:ext>
          </c:extLst>
        </c:ser>
        <c:ser>
          <c:idx val="2"/>
          <c:order val="4"/>
          <c:tx>
            <c:strRef>
              <c:f>calcs!$B$34</c:f>
              <c:strCache>
                <c:ptCount val="1"/>
                <c:pt idx="0">
                  <c:v>3</c:v>
                </c:pt>
              </c:strCache>
            </c:strRef>
          </c:tx>
          <c:spPr>
            <a:ln w="193675" cap="sq">
              <a:solidFill>
                <a:schemeClr val="accent6"/>
              </a:solidFill>
            </a:ln>
          </c:spPr>
          <c:marker>
            <c:symbol val="square"/>
            <c:size val="14"/>
            <c:spPr>
              <a:solidFill>
                <a:schemeClr val="accent6"/>
              </a:solidFill>
              <a:ln>
                <a:noFill/>
              </a:ln>
            </c:spPr>
          </c:marker>
          <c:cat>
            <c:numRef>
              <c:f>calcs!$E$31:$AH$31</c:f>
              <c:numCache>
                <c:formatCode>m/d/yyyy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calcs!$E$34:$AH$34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5-4A80-B45A-1EC1F78D8AA5}"/>
            </c:ext>
          </c:extLst>
        </c:ser>
        <c:ser>
          <c:idx val="7"/>
          <c:order val="5"/>
          <c:tx>
            <c:strRef>
              <c:f>calcs!$D$46</c:f>
              <c:strCache>
                <c:ptCount val="1"/>
                <c:pt idx="0">
                  <c:v>#N/A</c:v>
                </c:pt>
              </c:strCache>
            </c:strRef>
          </c:tx>
          <c:spPr>
            <a:ln cap="sq"/>
          </c:spPr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calcs!$E$46:$AH$46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5-4A80-B45A-1EC1F78D8AA5}"/>
            </c:ext>
          </c:extLst>
        </c:ser>
        <c:ser>
          <c:idx val="3"/>
          <c:order val="6"/>
          <c:tx>
            <c:strRef>
              <c:f>calcs!$B$35</c:f>
              <c:strCache>
                <c:ptCount val="1"/>
                <c:pt idx="0">
                  <c:v>4</c:v>
                </c:pt>
              </c:strCache>
            </c:strRef>
          </c:tx>
          <c:spPr>
            <a:ln w="193675" cap="sq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square"/>
            <c:size val="1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</c:spPr>
          </c:marker>
          <c:cat>
            <c:numRef>
              <c:f>calcs!$E$31:$AH$31</c:f>
              <c:numCache>
                <c:formatCode>m/d/yyyy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calcs!$E$35:$AH$35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8.3000000000000007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F5-4A80-B45A-1EC1F78D8AA5}"/>
            </c:ext>
          </c:extLst>
        </c:ser>
        <c:ser>
          <c:idx val="8"/>
          <c:order val="7"/>
          <c:tx>
            <c:strRef>
              <c:f>calcs!$D$47</c:f>
              <c:strCache>
                <c:ptCount val="1"/>
                <c:pt idx="0">
                  <c:v>METHODS AND DATA ANALYSIS DUE</c:v>
                </c:pt>
              </c:strCache>
            </c:strRef>
          </c:tx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calcs!$E$47:$AH$47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8.3000000000000007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F5-4A80-B45A-1EC1F78D8AA5}"/>
            </c:ext>
          </c:extLst>
        </c:ser>
        <c:ser>
          <c:idx val="4"/>
          <c:order val="8"/>
          <c:tx>
            <c:strRef>
              <c:f>calcs!$B$36</c:f>
              <c:strCache>
                <c:ptCount val="1"/>
                <c:pt idx="0">
                  <c:v>5</c:v>
                </c:pt>
              </c:strCache>
            </c:strRef>
          </c:tx>
          <c:spPr>
            <a:ln w="193675" cap="sq">
              <a:solidFill>
                <a:schemeClr val="bg1"/>
              </a:solidFill>
            </a:ln>
          </c:spPr>
          <c:marker>
            <c:symbol val="square"/>
            <c:size val="14"/>
            <c:spPr>
              <a:solidFill>
                <a:schemeClr val="bg1"/>
              </a:solidFill>
              <a:ln>
                <a:noFill/>
              </a:ln>
            </c:spPr>
          </c:marker>
          <c:cat>
            <c:numRef>
              <c:f>calcs!$E$31:$AH$31</c:f>
              <c:numCache>
                <c:formatCode>m/d/yyyy</c:formatCode>
                <c:ptCount val="3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</c:numCache>
            </c:numRef>
          </c:cat>
          <c:val>
            <c:numRef>
              <c:f>calcs!$E$36:$AH$36</c:f>
              <c:numCache>
                <c:formatCode>General</c:formatCode>
                <c:ptCount val="30"/>
                <c:pt idx="0">
                  <c:v>7.3000000000000007</c:v>
                </c:pt>
                <c:pt idx="1">
                  <c:v>7.3000000000000007</c:v>
                </c:pt>
                <c:pt idx="2">
                  <c:v>7.3000000000000007</c:v>
                </c:pt>
                <c:pt idx="3">
                  <c:v>7.3000000000000007</c:v>
                </c:pt>
                <c:pt idx="4">
                  <c:v>7.3000000000000007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F5-4A80-B45A-1EC1F78D8AA5}"/>
            </c:ext>
          </c:extLst>
        </c:ser>
        <c:ser>
          <c:idx val="9"/>
          <c:order val="9"/>
          <c:tx>
            <c:strRef>
              <c:f>calcs!$D$48</c:f>
              <c:strCache>
                <c:ptCount val="1"/>
                <c:pt idx="0">
                  <c:v>FORMAL ROUND TABLE MEETING WITH MENTOR</c:v>
                </c:pt>
              </c:strCache>
            </c:strRef>
          </c:tx>
          <c:spPr>
            <a:ln w="228600">
              <a:solidFill>
                <a:schemeClr val="bg1"/>
              </a:solidFill>
            </a:ln>
          </c:spPr>
          <c:marker>
            <c:symbol val="circle"/>
            <c:size val="9"/>
            <c:spPr>
              <a:solidFill>
                <a:schemeClr val="tx1"/>
              </a:solidFill>
              <a:ln>
                <a:noFill/>
              </a:ln>
            </c:spPr>
          </c:marker>
          <c:dPt>
            <c:idx val="3"/>
            <c:marker>
              <c:spPr>
                <a:solidFill>
                  <a:schemeClr val="tx2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B1A-4808-B570-F39EFF2D7B24}"/>
              </c:ext>
            </c:extLst>
          </c:dPt>
          <c:dPt>
            <c:idx val="6"/>
            <c:marker>
              <c:spPr>
                <a:solidFill>
                  <a:schemeClr val="tx2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85D-B943-A53D-6A6D765E301A}"/>
              </c:ext>
            </c:extLst>
          </c:dPt>
          <c:dLbls>
            <c:dLbl>
              <c:idx val="3"/>
              <c:layout>
                <c:manualLayout>
                  <c:x val="-0.12307005380997599"/>
                  <c:y val="-7.151804943811872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PROJECT</a:t>
                    </a:r>
                    <a:r>
                      <a:rPr lang="en-US" baseline="0"/>
                      <a:t> START</a:t>
                    </a:r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B1A-4808-B570-F39EFF2D7B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ysClr val="windowText" lastClr="000000"/>
                    </a:solidFill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calcs!$E$48:$AH$48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7.3000000000000007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9F5-4A80-B45A-1EC1F78D8AA5}"/>
            </c:ext>
          </c:extLst>
        </c:ser>
        <c:ser>
          <c:idx val="10"/>
          <c:order val="10"/>
          <c:tx>
            <c:strRef>
              <c:f>calcs!$B$37</c:f>
              <c:strCache>
                <c:ptCount val="1"/>
                <c:pt idx="0">
                  <c:v>6</c:v>
                </c:pt>
              </c:strCache>
            </c:strRef>
          </c:tx>
          <c:spPr>
            <a:ln w="193675" cap="sq">
              <a:noFill/>
            </a:ln>
          </c:spPr>
          <c:marker>
            <c:symbol val="none"/>
          </c:marker>
          <c:val>
            <c:numRef>
              <c:f>calcs!$E$37:$AH$37</c:f>
              <c:numCache>
                <c:formatCode>General</c:formatCode>
                <c:ptCount val="30"/>
                <c:pt idx="0">
                  <c:v>6.3000000000000007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F5-4A80-B45A-1EC1F78D8AA5}"/>
            </c:ext>
          </c:extLst>
        </c:ser>
        <c:ser>
          <c:idx val="11"/>
          <c:order val="11"/>
          <c:tx>
            <c:strRef>
              <c:f>calcs!$D$49</c:f>
              <c:strCache>
                <c:ptCount val="1"/>
                <c:pt idx="0">
                  <c:v>STAGE THREE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calcs!$E$49:$AH$49</c:f>
              <c:numCache>
                <c:formatCode>General</c:formatCode>
                <c:ptCount val="30"/>
                <c:pt idx="0">
                  <c:v>6.3000000000000007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9F5-4A80-B45A-1EC1F78D8AA5}"/>
            </c:ext>
          </c:extLst>
        </c:ser>
        <c:ser>
          <c:idx val="12"/>
          <c:order val="12"/>
          <c:tx>
            <c:strRef>
              <c:f>calcs!$B$38</c:f>
              <c:strCache>
                <c:ptCount val="1"/>
                <c:pt idx="0">
                  <c:v>7</c:v>
                </c:pt>
              </c:strCache>
            </c:strRef>
          </c:tx>
          <c:spPr>
            <a:ln w="193675" cap="sq">
              <a:noFill/>
            </a:ln>
          </c:spPr>
          <c:marker>
            <c:symbol val="square"/>
            <c:size val="14"/>
            <c:spPr>
              <a:noFill/>
              <a:ln>
                <a:noFill/>
              </a:ln>
            </c:spPr>
          </c:marker>
          <c:val>
            <c:numRef>
              <c:f>calcs!$E$38:$AH$38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5.3000000000000007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F5-4A80-B45A-1EC1F78D8AA5}"/>
            </c:ext>
          </c:extLst>
        </c:ser>
        <c:ser>
          <c:idx val="13"/>
          <c:order val="13"/>
          <c:tx>
            <c:strRef>
              <c:f>calcs!$D$50</c:f>
              <c:strCache>
                <c:ptCount val="1"/>
                <c:pt idx="0">
                  <c:v>INITIAL REPORT DUE FOR PEER REVIEW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100">
                      <a:latin typeface="+mn-lt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456634666426653E-2"/>
                      <c:h val="5.92169449347623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3B6-7A4F-B2F6-BC6A13143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calcs!$E$50:$AH$50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5.3000000000000007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9F5-4A80-B45A-1EC1F78D8AA5}"/>
            </c:ext>
          </c:extLst>
        </c:ser>
        <c:ser>
          <c:idx val="14"/>
          <c:order val="14"/>
          <c:tx>
            <c:strRef>
              <c:f>calcs!$B$39</c:f>
              <c:strCache>
                <c:ptCount val="1"/>
                <c:pt idx="0">
                  <c:v>8</c:v>
                </c:pt>
              </c:strCache>
            </c:strRef>
          </c:tx>
          <c:spPr>
            <a:ln w="193675" cap="sq">
              <a:noFill/>
            </a:ln>
          </c:spPr>
          <c:marker>
            <c:symbol val="square"/>
            <c:size val="14"/>
            <c:spPr>
              <a:noFill/>
              <a:ln>
                <a:noFill/>
              </a:ln>
            </c:spPr>
          </c:marker>
          <c:val>
            <c:numRef>
              <c:f>calcs!$E$39:$AH$39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4.3000000000000007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F5-4A80-B45A-1EC1F78D8AA5}"/>
            </c:ext>
          </c:extLst>
        </c:ser>
        <c:ser>
          <c:idx val="15"/>
          <c:order val="15"/>
          <c:tx>
            <c:strRef>
              <c:f>calcs!$D$51</c:f>
              <c:strCache>
                <c:ptCount val="1"/>
                <c:pt idx="0">
                  <c:v>CONFERENCE ABSTRACT DUE</c:v>
                </c:pt>
              </c:strCache>
            </c:strRef>
          </c:tx>
          <c:spPr>
            <a:ln cap="sq">
              <a:noFill/>
            </a:ln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100">
                      <a:latin typeface="+mn-lt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593764380873023"/>
                      <c:h val="5.92169449347623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3B6-7A4F-B2F6-BC6A13143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calcs!$E$51:$AH$51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4.3000000000000007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9F5-4A80-B45A-1EC1F78D8AA5}"/>
            </c:ext>
          </c:extLst>
        </c:ser>
        <c:ser>
          <c:idx val="16"/>
          <c:order val="16"/>
          <c:tx>
            <c:strRef>
              <c:f>calcs!$B$40</c:f>
              <c:strCache>
                <c:ptCount val="1"/>
                <c:pt idx="0">
                  <c:v>9</c:v>
                </c:pt>
              </c:strCache>
            </c:strRef>
          </c:tx>
          <c:spPr>
            <a:ln w="193675" cap="sq">
              <a:noFill/>
            </a:ln>
          </c:spPr>
          <c:marker>
            <c:symbol val="square"/>
            <c:size val="14"/>
            <c:spPr>
              <a:noFill/>
              <a:ln>
                <a:noFill/>
              </a:ln>
            </c:spPr>
          </c:marker>
          <c:val>
            <c:numRef>
              <c:f>calcs!$E$40:$AH$40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3.3000000000000007</c:v>
                </c:pt>
                <c:pt idx="22">
                  <c:v>3.3000000000000007</c:v>
                </c:pt>
                <c:pt idx="23">
                  <c:v>3.3000000000000007</c:v>
                </c:pt>
                <c:pt idx="24">
                  <c:v>3.3000000000000007</c:v>
                </c:pt>
                <c:pt idx="25">
                  <c:v>3.3000000000000007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9F5-4A80-B45A-1EC1F78D8AA5}"/>
            </c:ext>
          </c:extLst>
        </c:ser>
        <c:ser>
          <c:idx val="17"/>
          <c:order val="17"/>
          <c:tx>
            <c:strRef>
              <c:f>calcs!$D$52</c:f>
              <c:strCache>
                <c:ptCount val="1"/>
                <c:pt idx="0">
                  <c:v>CHECK IN WITH MENTOR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9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100">
                      <a:latin typeface="+mn-lt"/>
                    </a:defRPr>
                  </a:pPr>
                  <a:endParaRPr lang="en-US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351260339106732"/>
                      <c:h val="5.92169449347623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3B6-7A4F-B2F6-BC6A131433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+mn-lt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calcs!$E$52:$AH$52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3.3000000000000007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9F5-4A80-B45A-1EC1F78D8AA5}"/>
            </c:ext>
          </c:extLst>
        </c:ser>
        <c:ser>
          <c:idx val="18"/>
          <c:order val="18"/>
          <c:tx>
            <c:v>Today</c:v>
          </c:tx>
          <c:marker>
            <c:symbol val="none"/>
          </c:marker>
          <c:errBars>
            <c:errDir val="y"/>
            <c:errBarType val="both"/>
            <c:errValType val="fixedVal"/>
            <c:noEndCap val="0"/>
            <c:val val="10"/>
            <c:spPr>
              <a:ln w="263525">
                <a:solidFill>
                  <a:schemeClr val="bg1">
                    <a:lumMod val="95000"/>
                  </a:schemeClr>
                </a:solidFill>
              </a:ln>
            </c:spPr>
          </c:errBars>
          <c:val>
            <c:numRef>
              <c:f>calcs!$E$56:$AH$56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5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9F5-4A80-B45A-1EC1F78D8AA5}"/>
            </c:ext>
          </c:extLst>
        </c:ser>
        <c:ser>
          <c:idx val="19"/>
          <c:order val="19"/>
          <c:tx>
            <c:strRef>
              <c:f>calcs!$D$58</c:f>
              <c:strCache>
                <c:ptCount val="1"/>
                <c:pt idx="0">
                  <c:v>Feb 2026</c:v>
                </c:pt>
              </c:strCache>
            </c:strRef>
          </c:tx>
          <c:spPr>
            <a:ln w="228600" cap="sq">
              <a:solidFill>
                <a:schemeClr val="tx2">
                  <a:lumMod val="20000"/>
                  <a:lumOff val="80000"/>
                </a:schemeClr>
              </a:solidFill>
            </a:ln>
          </c:spPr>
          <c:marker>
            <c:symbol val="none"/>
          </c:marker>
          <c:val>
            <c:numRef>
              <c:f>calcs!$E$58:$AH$58</c:f>
              <c:numCache>
                <c:formatCode>General</c:formatCode>
                <c:ptCount val="30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9F5-4A80-B45A-1EC1F78D8AA5}"/>
            </c:ext>
          </c:extLst>
        </c:ser>
        <c:ser>
          <c:idx val="20"/>
          <c:order val="20"/>
          <c:tx>
            <c:strRef>
              <c:f>calcs!$D$61</c:f>
              <c:strCache>
                <c:ptCount val="1"/>
                <c:pt idx="0">
                  <c:v>Mar 2026</c:v>
                </c:pt>
              </c:strCache>
            </c:strRef>
          </c:tx>
          <c:spPr>
            <a:ln w="228600" cap="sq">
              <a:solidFill>
                <a:schemeClr val="accent5">
                  <a:lumMod val="90000"/>
                </a:schemeClr>
              </a:solidFill>
            </a:ln>
          </c:spPr>
          <c:marker>
            <c:symbol val="none"/>
          </c:marker>
          <c:val>
            <c:numRef>
              <c:f>calcs!$E$61:$AH$61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9F5-4A80-B45A-1EC1F78D8AA5}"/>
            </c:ext>
          </c:extLst>
        </c:ser>
        <c:ser>
          <c:idx val="21"/>
          <c:order val="21"/>
          <c:tx>
            <c:strRef>
              <c:f>calcs!$D$66</c:f>
              <c:strCache>
                <c:ptCount val="1"/>
                <c:pt idx="0">
                  <c:v>Mar 2026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>
                    <a:solidFill>
                      <a:schemeClr val="tx2"/>
                    </a:solidFill>
                    <a:latin typeface="Garamond" panose="02020404030301010803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calcs!$E$66:$AH$66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9F5-4A80-B45A-1EC1F78D8AA5}"/>
            </c:ext>
          </c:extLst>
        </c:ser>
        <c:ser>
          <c:idx val="22"/>
          <c:order val="22"/>
          <c:tx>
            <c:strRef>
              <c:f>calcs!$D$65</c:f>
              <c:strCache>
                <c:ptCount val="1"/>
                <c:pt idx="0">
                  <c:v>Feb 2026</c:v>
                </c:pt>
              </c:strCache>
            </c:strRef>
          </c:tx>
          <c:spPr>
            <a:ln w="209550" cap="sq"/>
          </c:spPr>
          <c:marker>
            <c:symbol val="none"/>
          </c:marker>
          <c:dPt>
            <c:idx val="2"/>
            <c:bubble3D val="0"/>
            <c:spPr>
              <a:ln w="28575" cap="sq"/>
            </c:spPr>
            <c:extLst>
              <c:ext xmlns:c16="http://schemas.microsoft.com/office/drawing/2014/chart" uri="{C3380CC4-5D6E-409C-BE32-E72D297353CC}">
                <c16:uniqueId val="{00000017-D9F5-4A80-B45A-1EC1F78D8AA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200">
                      <a:solidFill>
                        <a:schemeClr val="tx2"/>
                      </a:solidFill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D9F5-4A80-B45A-1EC1F78D8A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calcs!$E$65:$AH$65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9F5-4A80-B45A-1EC1F78D8AA5}"/>
            </c:ext>
          </c:extLst>
        </c:ser>
        <c:ser>
          <c:idx val="24"/>
          <c:order val="23"/>
          <c:tx>
            <c:v>Day Dot Line</c:v>
          </c:tx>
          <c:spPr>
            <a:ln w="15875">
              <a:solidFill>
                <a:schemeClr val="tx2"/>
              </a:solidFill>
            </a:ln>
          </c:spPr>
          <c:marker>
            <c:symbol val="circle"/>
            <c:size val="5"/>
            <c:spPr>
              <a:solidFill>
                <a:schemeClr val="tx2"/>
              </a:solidFill>
              <a:ln>
                <a:noFill/>
              </a:ln>
            </c:spPr>
          </c:marker>
          <c:dLbls>
            <c:dLbl>
              <c:idx val="0"/>
              <c:tx>
                <c:strRef>
                  <c:f>calcs!$E$72</c:f>
                  <c:strCache>
                    <c:ptCount val="1"/>
                    <c:pt idx="0">
                      <c:v>23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{3FE6B2DD-28AC-44FF-B6CD-11B18836BF7D}</c15:txfldGUID>
                      <c15:f>calcs!$E$72</c15:f>
                      <c15:dlblFieldTableCache>
                        <c:ptCount val="1"/>
                        <c:pt idx="0">
                          <c:v>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D9F5-4A80-B45A-1EC1F78D8AA5}"/>
                </c:ext>
              </c:extLst>
            </c:dLbl>
            <c:dLbl>
              <c:idx val="1"/>
              <c:tx>
                <c:strRef>
                  <c:f>calcs!$F$72</c:f>
                  <c:strCache>
                    <c:ptCount val="1"/>
                    <c:pt idx="0">
                      <c:v>24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{23156BF2-8F0C-4989-ACB8-5866AB795239}</c15:txfldGUID>
                      <c15:f>calcs!$F$72</c15:f>
                      <c15:dlblFieldTableCache>
                        <c:ptCount val="1"/>
                        <c:pt idx="0">
                          <c:v>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D9F5-4A80-B45A-1EC1F78D8AA5}"/>
                </c:ext>
              </c:extLst>
            </c:dLbl>
            <c:dLbl>
              <c:idx val="2"/>
              <c:tx>
                <c:strRef>
                  <c:f>calcs!$G$72</c:f>
                  <c:strCache>
                    <c:ptCount val="1"/>
                    <c:pt idx="0">
                      <c:v>25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{8D1C077D-0586-403B-A4CA-5578A19EA0A4}</c15:txfldGUID>
                      <c15:f>calcs!$G$72</c15:f>
                      <c15:dlblFieldTableCache>
                        <c:ptCount val="1"/>
                        <c:pt idx="0">
                          <c:v>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D9F5-4A80-B45A-1EC1F78D8AA5}"/>
                </c:ext>
              </c:extLst>
            </c:dLbl>
            <c:dLbl>
              <c:idx val="3"/>
              <c:tx>
                <c:strRef>
                  <c:f>calcs!$H$72</c:f>
                  <c:strCache>
                    <c:ptCount val="1"/>
                    <c:pt idx="0">
                      <c:v>26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{CEA70586-B137-4279-82B8-685D31359091}</c15:txfldGUID>
                      <c15:f>calcs!$H$72</c15:f>
                      <c15:dlblFieldTableCache>
                        <c:ptCount val="1"/>
                        <c:pt idx="0">
                          <c:v>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D9F5-4A80-B45A-1EC1F78D8AA5}"/>
                </c:ext>
              </c:extLst>
            </c:dLbl>
            <c:dLbl>
              <c:idx val="4"/>
              <c:tx>
                <c:strRef>
                  <c:f>calcs!$I$72</c:f>
                  <c:strCache>
                    <c:ptCount val="1"/>
                    <c:pt idx="0">
                      <c:v>27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{3CC0E3D5-ABEB-4614-B2A3-0B9EE067DB1F}</c15:txfldGUID>
                      <c15:f>calcs!$I$72</c15:f>
                      <c15:dlblFieldTableCache>
                        <c:ptCount val="1"/>
                        <c:pt idx="0">
                          <c:v>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D9F5-4A80-B45A-1EC1F78D8AA5}"/>
                </c:ext>
              </c:extLst>
            </c:dLbl>
            <c:dLbl>
              <c:idx val="5"/>
              <c:tx>
                <c:strRef>
                  <c:f>calcs!$J$72</c:f>
                  <c:strCache>
                    <c:ptCount val="1"/>
                    <c:pt idx="0">
                      <c:v>28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{8F93FA4B-BAB5-4C9D-B498-B7E788F9B60B}</c15:txfldGUID>
                      <c15:f>calcs!$J$72</c15:f>
                      <c15:dlblFieldTableCache>
                        <c:ptCount val="1"/>
                        <c:pt idx="0">
                          <c:v>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D9F5-4A80-B45A-1EC1F78D8AA5}"/>
                </c:ext>
              </c:extLst>
            </c:dLbl>
            <c:dLbl>
              <c:idx val="6"/>
              <c:tx>
                <c:strRef>
                  <c:f>calcs!$K$72</c:f>
                  <c:strCache>
                    <c:ptCount val="1"/>
                    <c:pt idx="0">
                      <c:v>01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{EDF9148E-E41A-42B9-A2A2-E6B7F07CD859}</c15:txfldGUID>
                      <c15:f>calcs!$K$72</c15:f>
                      <c15:dlblFieldTableCache>
                        <c:ptCount val="1"/>
                        <c:pt idx="0">
                          <c:v>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D9F5-4A80-B45A-1EC1F78D8AA5}"/>
                </c:ext>
              </c:extLst>
            </c:dLbl>
            <c:dLbl>
              <c:idx val="7"/>
              <c:tx>
                <c:strRef>
                  <c:f>calcs!$L$72</c:f>
                  <c:strCache>
                    <c:ptCount val="1"/>
                    <c:pt idx="0">
                      <c:v>02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{B65CCDE9-D7AA-46C3-A58A-F00B0A2DA45C}</c15:txfldGUID>
                      <c15:f>calcs!$L$72</c15:f>
                      <c15:dlblFieldTableCache>
                        <c:ptCount val="1"/>
                        <c:pt idx="0">
                          <c:v>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D9F5-4A80-B45A-1EC1F78D8AA5}"/>
                </c:ext>
              </c:extLst>
            </c:dLbl>
            <c:dLbl>
              <c:idx val="8"/>
              <c:tx>
                <c:strRef>
                  <c:f>calcs!$M$72</c:f>
                  <c:strCache>
                    <c:ptCount val="1"/>
                    <c:pt idx="0">
                      <c:v>03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{36AA389B-1772-4F2D-906C-2706C2673B1C}</c15:txfldGUID>
                      <c15:f>calcs!$M$72</c15:f>
                      <c15:dlblFieldTableCache>
                        <c:ptCount val="1"/>
                        <c:pt idx="0">
                          <c:v>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D9F5-4A80-B45A-1EC1F78D8AA5}"/>
                </c:ext>
              </c:extLst>
            </c:dLbl>
            <c:dLbl>
              <c:idx val="9"/>
              <c:tx>
                <c:strRef>
                  <c:f>calcs!$N$72</c:f>
                  <c:strCache>
                    <c:ptCount val="1"/>
                    <c:pt idx="0">
                      <c:v>04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{F561EFC4-139C-45C9-A29F-1D3F41ECC932}</c15:txfldGUID>
                      <c15:f>calcs!$N$72</c15:f>
                      <c15:dlblFieldTableCache>
                        <c:ptCount val="1"/>
                        <c:pt idx="0">
                          <c:v>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D9F5-4A80-B45A-1EC1F78D8AA5}"/>
                </c:ext>
              </c:extLst>
            </c:dLbl>
            <c:dLbl>
              <c:idx val="10"/>
              <c:tx>
                <c:strRef>
                  <c:f>calcs!$O$72</c:f>
                  <c:strCache>
                    <c:ptCount val="1"/>
                    <c:pt idx="0">
                      <c:v>05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{518ADECD-9FCC-4357-B3DB-A28E4D0C223B}</c15:txfldGUID>
                      <c15:f>calcs!$O$72</c15:f>
                      <c15:dlblFieldTableCache>
                        <c:ptCount val="1"/>
                        <c:pt idx="0">
                          <c:v>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D9F5-4A80-B45A-1EC1F78D8AA5}"/>
                </c:ext>
              </c:extLst>
            </c:dLbl>
            <c:dLbl>
              <c:idx val="11"/>
              <c:tx>
                <c:strRef>
                  <c:f>calcs!$P$72</c:f>
                  <c:strCache>
                    <c:ptCount val="1"/>
                    <c:pt idx="0">
                      <c:v>06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{8E452470-F7B8-4FB1-BB83-78F86C5522F0}</c15:txfldGUID>
                      <c15:f>calcs!$P$72</c15:f>
                      <c15:dlblFieldTableCache>
                        <c:ptCount val="1"/>
                        <c:pt idx="0">
                          <c:v>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D9F5-4A80-B45A-1EC1F78D8AA5}"/>
                </c:ext>
              </c:extLst>
            </c:dLbl>
            <c:dLbl>
              <c:idx val="12"/>
              <c:tx>
                <c:strRef>
                  <c:f>calcs!$Q$72</c:f>
                  <c:strCache>
                    <c:ptCount val="1"/>
                    <c:pt idx="0">
                      <c:v>07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{99A20261-40C4-4E35-A1F5-AC64E7C5954A}</c15:txfldGUID>
                      <c15:f>calcs!$Q$72</c15:f>
                      <c15:dlblFieldTableCache>
                        <c:ptCount val="1"/>
                        <c:pt idx="0">
                          <c:v>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D9F5-4A80-B45A-1EC1F78D8AA5}"/>
                </c:ext>
              </c:extLst>
            </c:dLbl>
            <c:dLbl>
              <c:idx val="13"/>
              <c:tx>
                <c:strRef>
                  <c:f>calcs!$R$72</c:f>
                  <c:strCache>
                    <c:ptCount val="1"/>
                    <c:pt idx="0">
                      <c:v>08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{6C90CA0A-69EC-4C82-9D38-198C7FCF9F9C}</c15:txfldGUID>
                      <c15:f>calcs!$R$72</c15:f>
                      <c15:dlblFieldTableCache>
                        <c:ptCount val="1"/>
                        <c:pt idx="0">
                          <c:v>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D9F5-4A80-B45A-1EC1F78D8AA5}"/>
                </c:ext>
              </c:extLst>
            </c:dLbl>
            <c:dLbl>
              <c:idx val="14"/>
              <c:tx>
                <c:strRef>
                  <c:f>calcs!$S$72</c:f>
                  <c:strCache>
                    <c:ptCount val="1"/>
                    <c:pt idx="0">
                      <c:v>09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{C6FF904B-EE3F-472A-A999-1B0B750B6490}</c15:txfldGUID>
                      <c15:f>calcs!$S$72</c15:f>
                      <c15:dlblFieldTableCache>
                        <c:ptCount val="1"/>
                        <c:pt idx="0">
                          <c:v>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D9F5-4A80-B45A-1EC1F78D8AA5}"/>
                </c:ext>
              </c:extLst>
            </c:dLbl>
            <c:dLbl>
              <c:idx val="15"/>
              <c:tx>
                <c:strRef>
                  <c:f>calcs!$T$72</c:f>
                  <c:strCache>
                    <c:ptCount val="1"/>
                    <c:pt idx="0">
                      <c:v>10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{7C6C6485-709F-4578-990B-A7A70E534577}</c15:txfldGUID>
                      <c15:f>calcs!$T$72</c15:f>
                      <c15:dlblFieldTableCache>
                        <c:ptCount val="1"/>
                        <c:pt idx="0">
                          <c:v>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D9F5-4A80-B45A-1EC1F78D8AA5}"/>
                </c:ext>
              </c:extLst>
            </c:dLbl>
            <c:dLbl>
              <c:idx val="16"/>
              <c:tx>
                <c:strRef>
                  <c:f>calcs!$U$72</c:f>
                  <c:strCache>
                    <c:ptCount val="1"/>
                    <c:pt idx="0">
                      <c:v>11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{822B2A4A-A1CB-4ACD-84F4-5A98BAC444EE}</c15:txfldGUID>
                      <c15:f>calcs!$U$72</c15:f>
                      <c15:dlblFieldTableCache>
                        <c:ptCount val="1"/>
                        <c:pt idx="0">
                          <c:v>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D9F5-4A80-B45A-1EC1F78D8AA5}"/>
                </c:ext>
              </c:extLst>
            </c:dLbl>
            <c:dLbl>
              <c:idx val="17"/>
              <c:tx>
                <c:strRef>
                  <c:f>calcs!$V$72</c:f>
                  <c:strCache>
                    <c:ptCount val="1"/>
                    <c:pt idx="0">
                      <c:v>12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{DA6F03EE-D456-4248-9B53-1CBDE90D3BD2}</c15:txfldGUID>
                      <c15:f>calcs!$V$72</c15:f>
                      <c15:dlblFieldTableCache>
                        <c:ptCount val="1"/>
                        <c:pt idx="0">
                          <c:v>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D9F5-4A80-B45A-1EC1F78D8AA5}"/>
                </c:ext>
              </c:extLst>
            </c:dLbl>
            <c:dLbl>
              <c:idx val="18"/>
              <c:tx>
                <c:strRef>
                  <c:f>calcs!$W$72</c:f>
                  <c:strCache>
                    <c:ptCount val="1"/>
                    <c:pt idx="0">
                      <c:v>13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{9F9FCBCF-E7E2-4292-A528-B1F87EACCB7D}</c15:txfldGUID>
                      <c15:f>calcs!$W$72</c15:f>
                      <c15:dlblFieldTableCache>
                        <c:ptCount val="1"/>
                        <c:pt idx="0">
                          <c:v>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D9F5-4A80-B45A-1EC1F78D8AA5}"/>
                </c:ext>
              </c:extLst>
            </c:dLbl>
            <c:dLbl>
              <c:idx val="19"/>
              <c:tx>
                <c:strRef>
                  <c:f>calcs!$X$72</c:f>
                  <c:strCache>
                    <c:ptCount val="1"/>
                    <c:pt idx="0">
                      <c:v>14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{AFED3123-795F-48C7-A813-9BC294BAD6A7}</c15:txfldGUID>
                      <c15:f>calcs!$X$72</c15:f>
                      <c15:dlblFieldTableCache>
                        <c:ptCount val="1"/>
                        <c:pt idx="0">
                          <c:v>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D9F5-4A80-B45A-1EC1F78D8AA5}"/>
                </c:ext>
              </c:extLst>
            </c:dLbl>
            <c:dLbl>
              <c:idx val="20"/>
              <c:tx>
                <c:strRef>
                  <c:f>calcs!$Y$72</c:f>
                  <c:strCache>
                    <c:ptCount val="1"/>
                    <c:pt idx="0">
                      <c:v>15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{E9E9BF85-9FC1-4B2C-8A2F-A424176DE794}</c15:txfldGUID>
                      <c15:f>calcs!$Y$72</c15:f>
                      <c15:dlblFieldTableCache>
                        <c:ptCount val="1"/>
                        <c:pt idx="0">
                          <c:v>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D9F5-4A80-B45A-1EC1F78D8AA5}"/>
                </c:ext>
              </c:extLst>
            </c:dLbl>
            <c:dLbl>
              <c:idx val="21"/>
              <c:tx>
                <c:strRef>
                  <c:f>calcs!$Z$72</c:f>
                  <c:strCache>
                    <c:ptCount val="1"/>
                    <c:pt idx="0">
                      <c:v>16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{8BE39086-7923-468A-8390-513106558DE3}</c15:txfldGUID>
                      <c15:f>calcs!$Z$72</c15:f>
                      <c15:dlblFieldTableCache>
                        <c:ptCount val="1"/>
                        <c:pt idx="0">
                          <c:v>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D9F5-4A80-B45A-1EC1F78D8AA5}"/>
                </c:ext>
              </c:extLst>
            </c:dLbl>
            <c:dLbl>
              <c:idx val="22"/>
              <c:tx>
                <c:strRef>
                  <c:f>calcs!$AA$72</c:f>
                  <c:strCache>
                    <c:ptCount val="1"/>
                    <c:pt idx="0">
                      <c:v>17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{ADB27E03-5CA3-4510-8EA4-81012C9D83F5}</c15:txfldGUID>
                      <c15:f>calcs!$AA$72</c15:f>
                      <c15:dlblFieldTableCache>
                        <c:ptCount val="1"/>
                        <c:pt idx="0">
                          <c:v>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D9F5-4A80-B45A-1EC1F78D8AA5}"/>
                </c:ext>
              </c:extLst>
            </c:dLbl>
            <c:dLbl>
              <c:idx val="23"/>
              <c:tx>
                <c:strRef>
                  <c:f>calcs!$AB$72</c:f>
                  <c:strCache>
                    <c:ptCount val="1"/>
                    <c:pt idx="0">
                      <c:v>18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{83EB56DB-A13E-48D2-9DEE-D53FBC89824E}</c15:txfldGUID>
                      <c15:f>calcs!$AB$72</c15:f>
                      <c15:dlblFieldTableCache>
                        <c:ptCount val="1"/>
                        <c:pt idx="0">
                          <c:v>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D9F5-4A80-B45A-1EC1F78D8AA5}"/>
                </c:ext>
              </c:extLst>
            </c:dLbl>
            <c:dLbl>
              <c:idx val="24"/>
              <c:tx>
                <c:strRef>
                  <c:f>calcs!$AC$72</c:f>
                  <c:strCache>
                    <c:ptCount val="1"/>
                    <c:pt idx="0">
                      <c:v>19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{1A10287C-FA7B-451E-B12E-7EA50A55F6A3}</c15:txfldGUID>
                      <c15:f>calcs!$AC$72</c15:f>
                      <c15:dlblFieldTableCache>
                        <c:ptCount val="1"/>
                        <c:pt idx="0">
                          <c:v>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D9F5-4A80-B45A-1EC1F78D8AA5}"/>
                </c:ext>
              </c:extLst>
            </c:dLbl>
            <c:dLbl>
              <c:idx val="25"/>
              <c:tx>
                <c:strRef>
                  <c:f>calcs!$AD$72</c:f>
                  <c:strCache>
                    <c:ptCount val="1"/>
                    <c:pt idx="0">
                      <c:v>20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{32D8CAA3-CD87-4545-B235-B806FA2A3D7D}</c15:txfldGUID>
                      <c15:f>calcs!$AD$72</c15:f>
                      <c15:dlblFieldTableCache>
                        <c:ptCount val="1"/>
                        <c:pt idx="0">
                          <c:v>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D9F5-4A80-B45A-1EC1F78D8AA5}"/>
                </c:ext>
              </c:extLst>
            </c:dLbl>
            <c:dLbl>
              <c:idx val="26"/>
              <c:tx>
                <c:strRef>
                  <c:f>calcs!$AE$72</c:f>
                  <c:strCache>
                    <c:ptCount val="1"/>
                    <c:pt idx="0">
                      <c:v>21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{529261BA-9EA3-43FE-A30E-80AF7212E17F}</c15:txfldGUID>
                      <c15:f>calcs!$AE$72</c15:f>
                      <c15:dlblFieldTableCache>
                        <c:ptCount val="1"/>
                        <c:pt idx="0">
                          <c:v>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D9F5-4A80-B45A-1EC1F78D8AA5}"/>
                </c:ext>
              </c:extLst>
            </c:dLbl>
            <c:dLbl>
              <c:idx val="27"/>
              <c:tx>
                <c:strRef>
                  <c:f>calcs!$AF$72</c:f>
                  <c:strCache>
                    <c:ptCount val="1"/>
                    <c:pt idx="0">
                      <c:v>22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{C4112101-B4FB-46EB-9EE5-B812B3974096}</c15:txfldGUID>
                      <c15:f>calcs!$AF$72</c15:f>
                      <c15:dlblFieldTableCache>
                        <c:ptCount val="1"/>
                        <c:pt idx="0">
                          <c:v>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D9F5-4A80-B45A-1EC1F78D8AA5}"/>
                </c:ext>
              </c:extLst>
            </c:dLbl>
            <c:dLbl>
              <c:idx val="28"/>
              <c:tx>
                <c:strRef>
                  <c:f>calcs!$AG$72</c:f>
                  <c:strCache>
                    <c:ptCount val="1"/>
                    <c:pt idx="0">
                      <c:v>23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{D3E80C6A-D60E-447C-8B0F-697E625EA59E}</c15:txfldGUID>
                      <c15:f>calcs!$AG$72</c15:f>
                      <c15:dlblFieldTableCache>
                        <c:ptCount val="1"/>
                        <c:pt idx="0">
                          <c:v>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D9F5-4A80-B45A-1EC1F78D8AA5}"/>
                </c:ext>
              </c:extLst>
            </c:dLbl>
            <c:dLbl>
              <c:idx val="29"/>
              <c:tx>
                <c:strRef>
                  <c:f>calcs!$AH$72</c:f>
                  <c:strCache>
                    <c:ptCount val="1"/>
                    <c:pt idx="0">
                      <c:v>24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{FE585A05-866E-4CB1-A396-421D817387CA}</c15:txfldGUID>
                      <c15:f>calcs!$AH$72</c15:f>
                      <c15:dlblFieldTableCache>
                        <c:ptCount val="1"/>
                        <c:pt idx="0">
                          <c:v>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D9F5-4A80-B45A-1EC1F78D8A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calcs!$E$71:$AH$71</c:f>
              <c:numCache>
                <c:formatCode>General</c:formatCode>
                <c:ptCount val="30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  <c:pt idx="13">
                  <c:v>1.3</c:v>
                </c:pt>
                <c:pt idx="14">
                  <c:v>1.3</c:v>
                </c:pt>
                <c:pt idx="15">
                  <c:v>1.3</c:v>
                </c:pt>
                <c:pt idx="16">
                  <c:v>1.3</c:v>
                </c:pt>
                <c:pt idx="17">
                  <c:v>1.3</c:v>
                </c:pt>
                <c:pt idx="18">
                  <c:v>1.3</c:v>
                </c:pt>
                <c:pt idx="19">
                  <c:v>1.3</c:v>
                </c:pt>
                <c:pt idx="20">
                  <c:v>1.3</c:v>
                </c:pt>
                <c:pt idx="21">
                  <c:v>1.3</c:v>
                </c:pt>
                <c:pt idx="22">
                  <c:v>1.3</c:v>
                </c:pt>
                <c:pt idx="23">
                  <c:v>1.3</c:v>
                </c:pt>
                <c:pt idx="24">
                  <c:v>1.3</c:v>
                </c:pt>
                <c:pt idx="25">
                  <c:v>1.3</c:v>
                </c:pt>
                <c:pt idx="26">
                  <c:v>1.3</c:v>
                </c:pt>
                <c:pt idx="27">
                  <c:v>1.3</c:v>
                </c:pt>
                <c:pt idx="28">
                  <c:v>1.3</c:v>
                </c:pt>
                <c:pt idx="2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9F5-4A80-B45A-1EC1F78D8AA5}"/>
            </c:ext>
          </c:extLst>
        </c:ser>
        <c:ser>
          <c:idx val="23"/>
          <c:order val="24"/>
          <c:tx>
            <c:v>Day Dot Line For Text Labels</c:v>
          </c:tx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strRef>
                  <c:f>calcs!$E$70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{A43063AD-1032-490C-A052-5DFC2D2573FF}</c15:txfldGUID>
                      <c15:f>calcs!$E$70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D9F5-4A80-B45A-1EC1F78D8AA5}"/>
                </c:ext>
              </c:extLst>
            </c:dLbl>
            <c:dLbl>
              <c:idx val="1"/>
              <c:tx>
                <c:strRef>
                  <c:f>calcs!$F$70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{682752CA-BF60-477F-9267-F01583822F48}</c15:txfldGUID>
                      <c15:f>calcs!$F$70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D9F5-4A80-B45A-1EC1F78D8AA5}"/>
                </c:ext>
              </c:extLst>
            </c:dLbl>
            <c:dLbl>
              <c:idx val="2"/>
              <c:tx>
                <c:strRef>
                  <c:f>calcs!$G$70</c:f>
                  <c:strCache>
                    <c:ptCount val="1"/>
                    <c:pt idx="0">
                      <c:v>WED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{8DAF5DB6-AA65-45C6-B2F7-CBD432FA9C40}</c15:txfldGUID>
                      <c15:f>calcs!$G$70</c15:f>
                      <c15:dlblFieldTableCache>
                        <c:ptCount val="1"/>
                        <c:pt idx="0">
                          <c:v>WED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D9F5-4A80-B45A-1EC1F78D8AA5}"/>
                </c:ext>
              </c:extLst>
            </c:dLbl>
            <c:dLbl>
              <c:idx val="3"/>
              <c:tx>
                <c:strRef>
                  <c:f>calcs!$H$70</c:f>
                  <c:strCache>
                    <c:ptCount val="1"/>
                    <c:pt idx="0">
                      <c:v>THU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{5C821C12-7C1A-4C39-9CAE-26DEFF12DE55}</c15:txfldGUID>
                      <c15:f>calcs!$H$70</c15:f>
                      <c15:dlblFieldTableCache>
                        <c:ptCount val="1"/>
                        <c:pt idx="0">
                          <c:v>THU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D9F5-4A80-B45A-1EC1F78D8AA5}"/>
                </c:ext>
              </c:extLst>
            </c:dLbl>
            <c:dLbl>
              <c:idx val="4"/>
              <c:tx>
                <c:strRef>
                  <c:f>calcs!$I$70</c:f>
                  <c:strCache>
                    <c:ptCount val="1"/>
                    <c:pt idx="0">
                      <c:v>FRI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{9D8C6E81-34D7-4E4F-A6A7-7A151AF75C48}</c15:txfldGUID>
                      <c15:f>calcs!$I$70</c15:f>
                      <c15:dlblFieldTableCache>
                        <c:ptCount val="1"/>
                        <c:pt idx="0">
                          <c:v>FRI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D9F5-4A80-B45A-1EC1F78D8AA5}"/>
                </c:ext>
              </c:extLst>
            </c:dLbl>
            <c:dLbl>
              <c:idx val="5"/>
              <c:tx>
                <c:strRef>
                  <c:f>calcs!$J$70</c:f>
                  <c:strCache>
                    <c:ptCount val="1"/>
                    <c:pt idx="0">
                      <c:v>SAT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{05A95FA0-B5D9-4175-ADD6-19C0ED79E649}</c15:txfldGUID>
                      <c15:f>calcs!$J$70</c15:f>
                      <c15:dlblFieldTableCache>
                        <c:ptCount val="1"/>
                        <c:pt idx="0">
                          <c:v>SAT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D9F5-4A80-B45A-1EC1F78D8AA5}"/>
                </c:ext>
              </c:extLst>
            </c:dLbl>
            <c:dLbl>
              <c:idx val="6"/>
              <c:tx>
                <c:strRef>
                  <c:f>calcs!$K$70</c:f>
                  <c:strCache>
                    <c:ptCount val="1"/>
                    <c:pt idx="0">
                      <c:v>SUN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{4A0C748D-2F9D-419A-8518-3BD93EF474D0}</c15:txfldGUID>
                      <c15:f>calcs!$K$70</c15:f>
                      <c15:dlblFieldTableCache>
                        <c:ptCount val="1"/>
                        <c:pt idx="0">
                          <c:v>SUN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D9F5-4A80-B45A-1EC1F78D8AA5}"/>
                </c:ext>
              </c:extLst>
            </c:dLbl>
            <c:dLbl>
              <c:idx val="7"/>
              <c:tx>
                <c:strRef>
                  <c:f>calcs!$L$70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{90BB0B1C-B40C-4CF7-9EC9-D8F0AED05ADA}</c15:txfldGUID>
                      <c15:f>calcs!$L$70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D9F5-4A80-B45A-1EC1F78D8AA5}"/>
                </c:ext>
              </c:extLst>
            </c:dLbl>
            <c:dLbl>
              <c:idx val="8"/>
              <c:tx>
                <c:strRef>
                  <c:f>calcs!$M$70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{E9D2DDF1-7D79-4D6B-8F11-330434C68D31}</c15:txfldGUID>
                      <c15:f>calcs!$M$70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D9F5-4A80-B45A-1EC1F78D8AA5}"/>
                </c:ext>
              </c:extLst>
            </c:dLbl>
            <c:dLbl>
              <c:idx val="9"/>
              <c:tx>
                <c:strRef>
                  <c:f>calcs!$N$70</c:f>
                  <c:strCache>
                    <c:ptCount val="1"/>
                    <c:pt idx="0">
                      <c:v>WED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{08BD765B-7F39-41CB-8F1A-58BF0CF8CE05}</c15:txfldGUID>
                      <c15:f>calcs!$N$70</c15:f>
                      <c15:dlblFieldTableCache>
                        <c:ptCount val="1"/>
                        <c:pt idx="0">
                          <c:v>WED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D9F5-4A80-B45A-1EC1F78D8AA5}"/>
                </c:ext>
              </c:extLst>
            </c:dLbl>
            <c:dLbl>
              <c:idx val="10"/>
              <c:tx>
                <c:strRef>
                  <c:f>calcs!$O$70</c:f>
                  <c:strCache>
                    <c:ptCount val="1"/>
                    <c:pt idx="0">
                      <c:v>THU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{B21209C2-8662-483D-813D-CC22681513AA}</c15:txfldGUID>
                      <c15:f>calcs!$O$70</c15:f>
                      <c15:dlblFieldTableCache>
                        <c:ptCount val="1"/>
                        <c:pt idx="0">
                          <c:v>THU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D9F5-4A80-B45A-1EC1F78D8AA5}"/>
                </c:ext>
              </c:extLst>
            </c:dLbl>
            <c:dLbl>
              <c:idx val="11"/>
              <c:tx>
                <c:strRef>
                  <c:f>calcs!$P$70</c:f>
                  <c:strCache>
                    <c:ptCount val="1"/>
                    <c:pt idx="0">
                      <c:v>FRI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{E00CB6FA-D3CA-4CAE-957E-FE47D92953D2}</c15:txfldGUID>
                      <c15:f>calcs!$P$70</c15:f>
                      <c15:dlblFieldTableCache>
                        <c:ptCount val="1"/>
                        <c:pt idx="0">
                          <c:v>FRI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D9F5-4A80-B45A-1EC1F78D8AA5}"/>
                </c:ext>
              </c:extLst>
            </c:dLbl>
            <c:dLbl>
              <c:idx val="12"/>
              <c:tx>
                <c:strRef>
                  <c:f>calcs!$Q$70</c:f>
                  <c:strCache>
                    <c:ptCount val="1"/>
                    <c:pt idx="0">
                      <c:v>SAT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{DC0B2404-359D-45D2-AA8E-A7372793DC57}</c15:txfldGUID>
                      <c15:f>calcs!$Q$70</c15:f>
                      <c15:dlblFieldTableCache>
                        <c:ptCount val="1"/>
                        <c:pt idx="0">
                          <c:v>SAT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D9F5-4A80-B45A-1EC1F78D8AA5}"/>
                </c:ext>
              </c:extLst>
            </c:dLbl>
            <c:dLbl>
              <c:idx val="13"/>
              <c:tx>
                <c:strRef>
                  <c:f>calcs!$R$70</c:f>
                  <c:strCache>
                    <c:ptCount val="1"/>
                    <c:pt idx="0">
                      <c:v>SUN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{BCCBFEE7-484C-4FB8-8999-816A5D098393}</c15:txfldGUID>
                      <c15:f>calcs!$R$70</c15:f>
                      <c15:dlblFieldTableCache>
                        <c:ptCount val="1"/>
                        <c:pt idx="0">
                          <c:v>SUN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D9F5-4A80-B45A-1EC1F78D8AA5}"/>
                </c:ext>
              </c:extLst>
            </c:dLbl>
            <c:dLbl>
              <c:idx val="14"/>
              <c:tx>
                <c:strRef>
                  <c:f>calcs!$S$70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{DF67B2E8-42EF-41C9-AD75-FF024E42F356}</c15:txfldGUID>
                      <c15:f>calcs!$S$70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D9F5-4A80-B45A-1EC1F78D8AA5}"/>
                </c:ext>
              </c:extLst>
            </c:dLbl>
            <c:dLbl>
              <c:idx val="15"/>
              <c:tx>
                <c:strRef>
                  <c:f>calcs!$T$70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{D9D48339-9DD5-419E-902D-AC5AF35FA82A}</c15:txfldGUID>
                      <c15:f>calcs!$T$70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D9F5-4A80-B45A-1EC1F78D8AA5}"/>
                </c:ext>
              </c:extLst>
            </c:dLbl>
            <c:dLbl>
              <c:idx val="16"/>
              <c:tx>
                <c:strRef>
                  <c:f>calcs!$U$70</c:f>
                  <c:strCache>
                    <c:ptCount val="1"/>
                    <c:pt idx="0">
                      <c:v>WED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{6A1F49E6-6C52-413A-8DE4-E5FB14737BB1}</c15:txfldGUID>
                      <c15:f>calcs!$U$70</c15:f>
                      <c15:dlblFieldTableCache>
                        <c:ptCount val="1"/>
                        <c:pt idx="0">
                          <c:v>WED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D9F5-4A80-B45A-1EC1F78D8AA5}"/>
                </c:ext>
              </c:extLst>
            </c:dLbl>
            <c:dLbl>
              <c:idx val="17"/>
              <c:tx>
                <c:strRef>
                  <c:f>calcs!$V$70</c:f>
                  <c:strCache>
                    <c:ptCount val="1"/>
                    <c:pt idx="0">
                      <c:v>THU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{85ECFE7F-E5D0-4E08-A785-DB510594D14C}</c15:txfldGUID>
                      <c15:f>calcs!$V$70</c15:f>
                      <c15:dlblFieldTableCache>
                        <c:ptCount val="1"/>
                        <c:pt idx="0">
                          <c:v>THU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D9F5-4A80-B45A-1EC1F78D8AA5}"/>
                </c:ext>
              </c:extLst>
            </c:dLbl>
            <c:dLbl>
              <c:idx val="18"/>
              <c:tx>
                <c:strRef>
                  <c:f>calcs!$W$70</c:f>
                  <c:strCache>
                    <c:ptCount val="1"/>
                    <c:pt idx="0">
                      <c:v>FRI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{CAE1790D-84A3-434A-92DB-B1FFB370854C}</c15:txfldGUID>
                      <c15:f>calcs!$W$70</c15:f>
                      <c15:dlblFieldTableCache>
                        <c:ptCount val="1"/>
                        <c:pt idx="0">
                          <c:v>FRI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D9F5-4A80-B45A-1EC1F78D8AA5}"/>
                </c:ext>
              </c:extLst>
            </c:dLbl>
            <c:dLbl>
              <c:idx val="19"/>
              <c:tx>
                <c:strRef>
                  <c:f>calcs!$X$70</c:f>
                  <c:strCache>
                    <c:ptCount val="1"/>
                    <c:pt idx="0">
                      <c:v>SAT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{384EDC52-9430-4944-A597-5330CAF26B5C}</c15:txfldGUID>
                      <c15:f>calcs!$X$70</c15:f>
                      <c15:dlblFieldTableCache>
                        <c:ptCount val="1"/>
                        <c:pt idx="0">
                          <c:v>SAT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D9F5-4A80-B45A-1EC1F78D8AA5}"/>
                </c:ext>
              </c:extLst>
            </c:dLbl>
            <c:dLbl>
              <c:idx val="20"/>
              <c:tx>
                <c:strRef>
                  <c:f>calcs!$Y$70</c:f>
                  <c:strCache>
                    <c:ptCount val="1"/>
                    <c:pt idx="0">
                      <c:v>SUN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{F2BB65D2-8EC3-417A-96CE-4E6DB635AD2E}</c15:txfldGUID>
                      <c15:f>calcs!$Y$70</c15:f>
                      <c15:dlblFieldTableCache>
                        <c:ptCount val="1"/>
                        <c:pt idx="0">
                          <c:v>SUN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D9F5-4A80-B45A-1EC1F78D8AA5}"/>
                </c:ext>
              </c:extLst>
            </c:dLbl>
            <c:dLbl>
              <c:idx val="21"/>
              <c:tx>
                <c:strRef>
                  <c:f>calcs!$Z$70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{076475DE-FFE5-4AC1-B22A-188CEF8F9F24}</c15:txfldGUID>
                      <c15:f>calcs!$Z$70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D9F5-4A80-B45A-1EC1F78D8AA5}"/>
                </c:ext>
              </c:extLst>
            </c:dLbl>
            <c:dLbl>
              <c:idx val="22"/>
              <c:tx>
                <c:strRef>
                  <c:f>calcs!$AA$70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{A8E06BF4-9B8D-4038-9FBE-DD83140B1159}</c15:txfldGUID>
                      <c15:f>calcs!$AA$70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D9F5-4A80-B45A-1EC1F78D8AA5}"/>
                </c:ext>
              </c:extLst>
            </c:dLbl>
            <c:dLbl>
              <c:idx val="23"/>
              <c:tx>
                <c:strRef>
                  <c:f>calcs!$AB$70</c:f>
                  <c:strCache>
                    <c:ptCount val="1"/>
                    <c:pt idx="0">
                      <c:v>WED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{4170BACE-80FF-4B85-AEB9-EB1691F207A0}</c15:txfldGUID>
                      <c15:f>calcs!$AB$70</c15:f>
                      <c15:dlblFieldTableCache>
                        <c:ptCount val="1"/>
                        <c:pt idx="0">
                          <c:v>WED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D9F5-4A80-B45A-1EC1F78D8AA5}"/>
                </c:ext>
              </c:extLst>
            </c:dLbl>
            <c:dLbl>
              <c:idx val="24"/>
              <c:tx>
                <c:strRef>
                  <c:f>calcs!$AC$70</c:f>
                  <c:strCache>
                    <c:ptCount val="1"/>
                    <c:pt idx="0">
                      <c:v>THU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{6A887125-7ABD-484A-A8CC-C62AE4DEF70A}</c15:txfldGUID>
                      <c15:f>calcs!$AC$70</c15:f>
                      <c15:dlblFieldTableCache>
                        <c:ptCount val="1"/>
                        <c:pt idx="0">
                          <c:v>THU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D9F5-4A80-B45A-1EC1F78D8AA5}"/>
                </c:ext>
              </c:extLst>
            </c:dLbl>
            <c:dLbl>
              <c:idx val="25"/>
              <c:tx>
                <c:strRef>
                  <c:f>calcs!$AD$70</c:f>
                  <c:strCache>
                    <c:ptCount val="1"/>
                    <c:pt idx="0">
                      <c:v>FRI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{C89254C6-5E71-4D1C-AA2C-F0AA52306BF4}</c15:txfldGUID>
                      <c15:f>calcs!$AD$70</c15:f>
                      <c15:dlblFieldTableCache>
                        <c:ptCount val="1"/>
                        <c:pt idx="0">
                          <c:v>FRI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D9F5-4A80-B45A-1EC1F78D8AA5}"/>
                </c:ext>
              </c:extLst>
            </c:dLbl>
            <c:dLbl>
              <c:idx val="26"/>
              <c:tx>
                <c:strRef>
                  <c:f>calcs!$AE$70</c:f>
                  <c:strCache>
                    <c:ptCount val="1"/>
                    <c:pt idx="0">
                      <c:v>SAT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{E858A13E-20AE-4DCE-9065-8FFB7A953F00}</c15:txfldGUID>
                      <c15:f>calcs!$AE$70</c15:f>
                      <c15:dlblFieldTableCache>
                        <c:ptCount val="1"/>
                        <c:pt idx="0">
                          <c:v>SAT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D9F5-4A80-B45A-1EC1F78D8AA5}"/>
                </c:ext>
              </c:extLst>
            </c:dLbl>
            <c:dLbl>
              <c:idx val="27"/>
              <c:tx>
                <c:strRef>
                  <c:f>calcs!$AF$70</c:f>
                  <c:strCache>
                    <c:ptCount val="1"/>
                    <c:pt idx="0">
                      <c:v>SUN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{A471CA74-41A0-4EF4-AAEE-49DB6E392D46}</c15:txfldGUID>
                      <c15:f>calcs!$AF$70</c15:f>
                      <c15:dlblFieldTableCache>
                        <c:ptCount val="1"/>
                        <c:pt idx="0">
                          <c:v>SUN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D9F5-4A80-B45A-1EC1F78D8AA5}"/>
                </c:ext>
              </c:extLst>
            </c:dLbl>
            <c:dLbl>
              <c:idx val="28"/>
              <c:tx>
                <c:strRef>
                  <c:f>calcs!$AG$70</c:f>
                  <c:strCache>
                    <c:ptCount val="1"/>
                    <c:pt idx="0">
                      <c:v>MON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{F53079EE-E9AA-4F3A-8B77-A52DEFC38FFE}</c15:txfldGUID>
                      <c15:f>calcs!$AG$70</c15:f>
                      <c15:dlblFieldTableCache>
                        <c:ptCount val="1"/>
                        <c:pt idx="0">
                          <c:v>MON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D9F5-4A80-B45A-1EC1F78D8AA5}"/>
                </c:ext>
              </c:extLst>
            </c:dLbl>
            <c:dLbl>
              <c:idx val="29"/>
              <c:tx>
                <c:strRef>
                  <c:f>calcs!$AH$70</c:f>
                  <c:strCache>
                    <c:ptCount val="1"/>
                    <c:pt idx="0">
                      <c:v>TUE</c:v>
                    </c:pt>
                  </c:strCache>
                </c:strRef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{27645A96-7203-4CFC-9037-F5C40EB60FA7}</c15:txfldGUID>
                      <c15:f>calcs!$AH$70</c15:f>
                      <c15:dlblFieldTableCache>
                        <c:ptCount val="1"/>
                        <c:pt idx="0">
                          <c:v>TUE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D9F5-4A80-B45A-1EC1F78D8A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calcs!$E$69:$AH$69</c:f>
              <c:numCache>
                <c:formatCode>General</c:formatCode>
                <c:ptCount val="30"/>
                <c:pt idx="0">
                  <c:v>2.2999999999999998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2.2999999999999998</c:v>
                </c:pt>
                <c:pt idx="7">
                  <c:v>2.2999999999999998</c:v>
                </c:pt>
                <c:pt idx="8">
                  <c:v>2.2999999999999998</c:v>
                </c:pt>
                <c:pt idx="9">
                  <c:v>2.2999999999999998</c:v>
                </c:pt>
                <c:pt idx="10">
                  <c:v>2.2999999999999998</c:v>
                </c:pt>
                <c:pt idx="11">
                  <c:v>2.2999999999999998</c:v>
                </c:pt>
                <c:pt idx="12">
                  <c:v>2.2999999999999998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2.2999999999999998</c:v>
                </c:pt>
                <c:pt idx="18">
                  <c:v>2.2999999999999998</c:v>
                </c:pt>
                <c:pt idx="19">
                  <c:v>2.2999999999999998</c:v>
                </c:pt>
                <c:pt idx="20">
                  <c:v>2.2999999999999998</c:v>
                </c:pt>
                <c:pt idx="21">
                  <c:v>2.2999999999999998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2.2999999999999998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9F5-4A80-B45A-1EC1F78D8AA5}"/>
            </c:ext>
          </c:extLst>
        </c:ser>
        <c:ser>
          <c:idx val="25"/>
          <c:order val="25"/>
          <c:tx>
            <c:strRef>
              <c:f>calcs!$D$59</c:f>
              <c:strCache>
                <c:ptCount val="1"/>
                <c:pt idx="0">
                  <c:v>Feb 2026 - Top Band</c:v>
                </c:pt>
              </c:strCache>
            </c:strRef>
          </c:tx>
          <c:spPr>
            <a:ln w="228600" cap="sq">
              <a:solidFill>
                <a:schemeClr val="tx2">
                  <a:lumMod val="20000"/>
                  <a:lumOff val="80000"/>
                </a:schemeClr>
              </a:solidFill>
            </a:ln>
          </c:spPr>
          <c:marker>
            <c:symbol val="none"/>
          </c:marker>
          <c:val>
            <c:numRef>
              <c:f>calcs!$E$59:$AH$59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9F5-4A80-B45A-1EC1F78D8AA5}"/>
            </c:ext>
          </c:extLst>
        </c:ser>
        <c:ser>
          <c:idx val="26"/>
          <c:order val="26"/>
          <c:tx>
            <c:strRef>
              <c:f>calcs!$D$62</c:f>
              <c:strCache>
                <c:ptCount val="1"/>
                <c:pt idx="0">
                  <c:v>Mar 2026 - Top Band</c:v>
                </c:pt>
              </c:strCache>
            </c:strRef>
          </c:tx>
          <c:spPr>
            <a:ln w="228600" cap="sq">
              <a:solidFill>
                <a:schemeClr val="accent5">
                  <a:lumMod val="90000"/>
                </a:schemeClr>
              </a:solidFill>
            </a:ln>
          </c:spPr>
          <c:marker>
            <c:symbol val="none"/>
          </c:marker>
          <c:val>
            <c:numRef>
              <c:f>calcs!$E$62:$AH$62</c:f>
              <c:numCache>
                <c:formatCode>General</c:formatCode>
                <c:ptCount val="3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9F5-4A80-B45A-1EC1F78D8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907528"/>
        <c:axId val="562907920"/>
      </c:lineChart>
      <c:dateAx>
        <c:axId val="562907528"/>
        <c:scaling>
          <c:orientation val="minMax"/>
        </c:scaling>
        <c:delete val="1"/>
        <c:axPos val="b"/>
        <c:majorGridlines>
          <c:spPr>
            <a:ln w="3175">
              <a:solidFill>
                <a:schemeClr val="accent5">
                  <a:lumMod val="90000"/>
                  <a:alpha val="50000"/>
                </a:schemeClr>
              </a:solidFill>
            </a:ln>
          </c:spPr>
        </c:majorGridlines>
        <c:numFmt formatCode="d" sourceLinked="0"/>
        <c:majorTickMark val="out"/>
        <c:minorTickMark val="none"/>
        <c:tickLblPos val="nextTo"/>
        <c:crossAx val="562907920"/>
        <c:crosses val="autoZero"/>
        <c:auto val="1"/>
        <c:lblOffset val="100"/>
        <c:baseTimeUnit val="days"/>
      </c:dateAx>
      <c:valAx>
        <c:axId val="562907920"/>
        <c:scaling>
          <c:orientation val="minMax"/>
          <c:max val="13.5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562907528"/>
        <c:crosses val="autoZero"/>
        <c:crossBetween val="between"/>
        <c:majorUnit val="1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/>
      </a:pPr>
      <a:endParaRPr lang="en-US"/>
    </a:p>
  </c:txPr>
  <c:printSettings>
    <c:headerFooter/>
    <c:pageMargins b="0.75" l="0.7" r="0.7" t="1" header="0.3" footer="0.3"/>
    <c:pageSetup orientation="landscape"/>
  </c:printSettings>
</c:chartSpace>
</file>

<file path=xl/ctrlProps/ctrlProp1.xml><?xml version="1.0" encoding="utf-8"?>
<formControlPr xmlns="http://schemas.microsoft.com/office/spreadsheetml/2009/9/main" objectType="Scroll" dx="16" fmlaLink="WindowOffset" horiz="1" max="500" noThreeD="1" page="7" val="8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304799</xdr:colOff>
      <xdr:row>3</xdr:row>
      <xdr:rowOff>85725</xdr:rowOff>
    </xdr:from>
    <xdr:to>
      <xdr:col>6</xdr:col>
      <xdr:colOff>4445</xdr:colOff>
      <xdr:row>3</xdr:row>
      <xdr:rowOff>3637276</xdr:rowOff>
    </xdr:to>
    <xdr:graphicFrame macro="">
      <xdr:nvGraphicFramePr>
        <xdr:cNvPr id="7" name="TimelineChart" descr="Scrollable timeline of project activities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320151</xdr:colOff>
      <xdr:row>3</xdr:row>
      <xdr:rowOff>3638776</xdr:rowOff>
    </xdr:from>
    <xdr:to>
      <xdr:col>24</xdr:col>
      <xdr:colOff>86395</xdr:colOff>
      <xdr:row>3</xdr:row>
      <xdr:rowOff>3867223</xdr:rowOff>
    </xdr:to>
    <xdr:grpSp>
      <xdr:nvGrpSpPr>
        <xdr:cNvPr id="5" name="Group 4" descr="Scroll ba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644001" y="5534251"/>
          <a:ext cx="19578244" cy="228447"/>
          <a:chOff x="306828" y="4108030"/>
          <a:chExt cx="8729080" cy="223564"/>
        </a:xfrm>
      </xdr:grpSpPr>
      <xdr:sp macro="" textlink="">
        <xdr:nvSpPr>
          <xdr:cNvPr id="2" name="Rectangle 1" descr="Rectangle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317500" y="4131307"/>
            <a:ext cx="8706414" cy="200287"/>
          </a:xfrm>
          <a:prstGeom prst="rect">
            <a:avLst/>
          </a:prstGeom>
          <a:solidFill>
            <a:schemeClr val="accent3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Scroll Bar" descr="Select the scroll bar to modify the project time frame shown on the Timeline Chart or enter the start date for the display of project activities in cell D3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306828" y="4108030"/>
                <a:ext cx="8729080" cy="16319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</xdr:grp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" displayName="Activities" ref="B6:G28" totalsRowShown="0">
  <autoFilter ref="B6:G28" xr:uid="{00000000-0009-0000-0100-000001000000}"/>
  <sortState xmlns:xlrd2="http://schemas.microsoft.com/office/spreadsheetml/2017/richdata2" ref="C31:F36">
    <sortCondition ref="D30:D36"/>
  </sortState>
  <tableColumns count="6">
    <tableColumn id="5" xr3:uid="{00000000-0010-0000-0000-000005000000}" name="Id">
      <calculatedColumnFormula>ROW(B7)-calcs!$D$5</calculatedColumnFormula>
    </tableColumn>
    <tableColumn id="1" xr3:uid="{00000000-0010-0000-0000-000001000000}" name="Deadline " dataDxfId="19"/>
    <tableColumn id="2" xr3:uid="{00000000-0010-0000-0000-000002000000}" name="Start" dataDxfId="18">
      <calculatedColumnFormula>D6+10</calculatedColumnFormula>
    </tableColumn>
    <tableColumn id="3" xr3:uid="{00000000-0010-0000-0000-000003000000}" name="End" dataDxfId="17">
      <calculatedColumnFormula>Activities[[#This Row],[Start]]+2</calculatedColumnFormula>
    </tableColumn>
    <tableColumn id="4" xr3:uid="{00000000-0010-0000-0000-000004000000}" name="Notes " dataDxfId="16"/>
    <tableColumn id="7" xr3:uid="{DEC65533-D607-BD47-9B7F-78BF959AA2E4}" name="Done?" dataDxfId="15"/>
  </tableColumns>
  <tableStyleInfo name="TableStyleMedium24" showFirstColumn="0" showLastColumn="0" showRowStripes="1" showColumnStripes="0"/>
  <extLst>
    <ext xmlns:x14="http://schemas.microsoft.com/office/spreadsheetml/2009/9/main" uri="{504A1905-F514-4f6f-8877-14C23A59335A}">
      <x14:table altTextSummary="Enter project Activity, Start and End dates, and Notes in this table.  Activities entered in the table will be rendered in the Timeline Chart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AA69E1-DE52-6545-9CC5-E28CD747426E}" name="Tasks" displayName="Tasks" ref="B2:H44" dataDxfId="14" headerRowCellStyle="Heading 1">
  <autoFilter ref="B2:H44" xr:uid="{00000000-0009-0000-0100-000001000000}"/>
  <sortState xmlns:xlrd2="http://schemas.microsoft.com/office/spreadsheetml/2017/richdata2" ref="B3:H44">
    <sortCondition ref="D2:D44"/>
  </sortState>
  <tableColumns count="7">
    <tableColumn id="1" xr3:uid="{00000000-0010-0000-0000-000001000000}" name="TASKS" totalsRowLabel="Total" dataDxfId="12" totalsRowDxfId="13" dataCellStyle="Table Text"/>
    <tableColumn id="4" xr3:uid="{00000000-0010-0000-0000-000004000000}" name="START DATE" dataDxfId="10" totalsRowDxfId="11" dataCellStyle="Date"/>
    <tableColumn id="5" xr3:uid="{00000000-0010-0000-0000-000005000000}" name="DUE DATE" dataDxfId="8" totalsRowDxfId="9" dataCellStyle="Date"/>
    <tableColumn id="6" xr3:uid="{00000000-0010-0000-0000-000006000000}" name="% COMPLETE" dataDxfId="6" totalsRowDxfId="7" dataCellStyle="Percent"/>
    <tableColumn id="7" xr3:uid="{00000000-0010-0000-0000-000007000000}" name="DONE" dataDxfId="4" totalsRowDxfId="5" dataCellStyle="Done">
      <calculatedColumnFormula>--(Tasks[[#This Row],[% COMPLETE]]&gt;=1)</calculatedColumnFormula>
    </tableColumn>
    <tableColumn id="8" xr3:uid="{00000000-0010-0000-0000-000008000000}" name="NOTES" totalsRowFunction="count" dataDxfId="2" totalsRowDxfId="3" dataCellStyle="Table Text"/>
    <tableColumn id="3" xr3:uid="{408A6DDE-EAE5-C048-A778-773C5C1EC6B2}" name="ASSIGNED TO" dataDxfId="0" totalsRowDxfId="1" dataCellStyle="Table Text"/>
  </tableColumns>
  <tableStyleInfo name="TableStyleMedium24" showFirstColumn="1" showLastColumn="0" showRowStripes="1" showColumnStripes="0"/>
  <extLst>
    <ext xmlns:x14="http://schemas.microsoft.com/office/spreadsheetml/2009/9/main" uri="{504A1905-F514-4f6f-8877-14C23A59335A}">
      <x14:table altTextSummary="A table for tracking a list of tasks. Enter task names, start and end dates, percent complete and any notes. An icon will appear in the Done column F for tasks that reach 100% complete"/>
    </ext>
  </extLst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Custom 43">
      <a:majorFont>
        <a:latin typeface="Garamond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-0.249977111117893"/>
    <pageSetUpPr autoPageBreaks="0" fitToPage="1"/>
  </sheetPr>
  <dimension ref="A1:G28"/>
  <sheetViews>
    <sheetView showGridLines="0" topLeftCell="A15" zoomScale="113" zoomScaleNormal="100" workbookViewId="0">
      <selection activeCell="D21" sqref="D21"/>
    </sheetView>
  </sheetViews>
  <sheetFormatPr defaultColWidth="9.140625" defaultRowHeight="35.25" customHeight="1"/>
  <cols>
    <col min="1" max="1" width="4.85546875" style="4" customWidth="1"/>
    <col min="2" max="2" width="7" style="4" hidden="1" customWidth="1"/>
    <col min="3" max="3" width="30.85546875" style="4" customWidth="1"/>
    <col min="4" max="5" width="18.85546875" style="4" customWidth="1"/>
    <col min="6" max="6" width="66.7109375" style="4" customWidth="1"/>
    <col min="7" max="7" width="10.85546875" style="4" customWidth="1"/>
    <col min="8" max="8" width="4.7109375" style="4" customWidth="1"/>
    <col min="9" max="16384" width="9.140625" style="4"/>
  </cols>
  <sheetData>
    <row r="1" spans="1:7" ht="74.099999999999994" customHeight="1">
      <c r="A1" s="8"/>
      <c r="B1" s="6"/>
      <c r="C1" s="64" t="s">
        <v>0</v>
      </c>
      <c r="D1" s="64"/>
      <c r="E1" s="64"/>
      <c r="F1" s="64"/>
      <c r="G1" s="7"/>
    </row>
    <row r="2" spans="1:7" s="5" customFormat="1" ht="41.1" customHeight="1">
      <c r="C2" s="10"/>
      <c r="D2" s="65" t="s">
        <v>1</v>
      </c>
      <c r="E2" s="65"/>
      <c r="F2" s="15">
        <v>45992</v>
      </c>
    </row>
    <row r="4" spans="1:7" ht="316.35000000000002" customHeight="1">
      <c r="C4" s="63" t="s">
        <v>2</v>
      </c>
      <c r="D4" s="63"/>
      <c r="E4" s="63"/>
      <c r="F4" s="63"/>
      <c r="G4" s="63"/>
    </row>
    <row r="5" spans="1:7" ht="30" customHeight="1">
      <c r="C5" s="9"/>
      <c r="D5" s="9"/>
      <c r="E5" s="9"/>
      <c r="F5" s="9"/>
      <c r="G5" s="9"/>
    </row>
    <row r="6" spans="1:7" ht="35.1" customHeight="1">
      <c r="B6" t="s">
        <v>3</v>
      </c>
      <c r="C6" s="11" t="s">
        <v>4</v>
      </c>
      <c r="D6" s="12" t="s">
        <v>5</v>
      </c>
      <c r="E6" s="12" t="s">
        <v>6</v>
      </c>
      <c r="F6" s="13" t="s">
        <v>7</v>
      </c>
      <c r="G6" s="13" t="s">
        <v>8</v>
      </c>
    </row>
    <row r="7" spans="1:7" ht="35.25" customHeight="1">
      <c r="B7">
        <f>ROW(B7)-calcs!$D$5</f>
        <v>-15</v>
      </c>
      <c r="C7" s="16" t="s">
        <v>9</v>
      </c>
      <c r="D7" s="17">
        <v>45992</v>
      </c>
      <c r="E7" s="17"/>
      <c r="F7" s="18"/>
      <c r="G7" s="14"/>
    </row>
    <row r="8" spans="1:7" ht="35.25" customHeight="1">
      <c r="B8">
        <f>ROW(B8)-calcs!$D$5</f>
        <v>-14</v>
      </c>
      <c r="C8" s="31" t="s">
        <v>10</v>
      </c>
      <c r="D8" s="17">
        <v>45992</v>
      </c>
      <c r="E8" s="17"/>
      <c r="F8" s="18"/>
      <c r="G8" s="32"/>
    </row>
    <row r="9" spans="1:7" ht="35.25" customHeight="1">
      <c r="B9">
        <f>ROW(B9)-calcs!$D$5</f>
        <v>-13</v>
      </c>
      <c r="C9" s="16" t="s">
        <v>11</v>
      </c>
      <c r="D9" s="17">
        <v>45992</v>
      </c>
      <c r="E9" s="17"/>
      <c r="F9" s="19" t="s">
        <v>12</v>
      </c>
      <c r="G9" s="20" t="b">
        <v>1</v>
      </c>
    </row>
    <row r="10" spans="1:7" ht="35.25" customHeight="1">
      <c r="B10">
        <f>ROW(B10)-calcs!$D$5</f>
        <v>-12</v>
      </c>
      <c r="C10" s="16" t="s">
        <v>13</v>
      </c>
      <c r="D10" s="17">
        <v>45995</v>
      </c>
      <c r="E10" s="17"/>
      <c r="F10" s="19" t="s">
        <v>14</v>
      </c>
      <c r="G10" s="20" t="b">
        <v>1</v>
      </c>
    </row>
    <row r="11" spans="1:7" ht="35.25" customHeight="1">
      <c r="B11">
        <f>ROW(B11)-calcs!$D$5</f>
        <v>-11</v>
      </c>
      <c r="C11" s="16" t="s">
        <v>15</v>
      </c>
      <c r="D11" s="17">
        <v>46028</v>
      </c>
      <c r="E11" s="17"/>
      <c r="F11" s="19" t="s">
        <v>12</v>
      </c>
      <c r="G11" s="20" t="b">
        <v>1</v>
      </c>
    </row>
    <row r="12" spans="1:7" ht="35.25" customHeight="1">
      <c r="B12">
        <f>ROW(B12)-calcs!$D$5</f>
        <v>-10</v>
      </c>
      <c r="C12" s="31" t="s">
        <v>16</v>
      </c>
      <c r="D12" s="17">
        <v>46041</v>
      </c>
      <c r="E12" s="17"/>
      <c r="F12" s="19"/>
      <c r="G12" s="33"/>
    </row>
    <row r="13" spans="1:7" ht="35.25" customHeight="1">
      <c r="B13">
        <f>ROW(B13)-calcs!$D$5</f>
        <v>-9</v>
      </c>
      <c r="C13" s="16" t="s">
        <v>17</v>
      </c>
      <c r="D13" s="17">
        <v>46041</v>
      </c>
      <c r="E13" s="17">
        <v>46045</v>
      </c>
      <c r="F13" s="18" t="s">
        <v>18</v>
      </c>
      <c r="G13" s="21" t="b">
        <v>1</v>
      </c>
    </row>
    <row r="14" spans="1:7" ht="35.25" customHeight="1">
      <c r="B14">
        <f>ROW(B14)-calcs!$D$5</f>
        <v>-8</v>
      </c>
      <c r="C14" s="16" t="s">
        <v>19</v>
      </c>
      <c r="D14" s="17">
        <v>46048</v>
      </c>
      <c r="E14" s="17">
        <v>46052</v>
      </c>
      <c r="F14" s="18" t="s">
        <v>20</v>
      </c>
      <c r="G14" s="21" t="b">
        <v>1</v>
      </c>
    </row>
    <row r="15" spans="1:7" ht="35.25" customHeight="1">
      <c r="B15">
        <f>ROW(B15)-calcs!$D$5</f>
        <v>-7</v>
      </c>
      <c r="C15" s="16" t="s">
        <v>21</v>
      </c>
      <c r="D15" s="17">
        <v>46061</v>
      </c>
      <c r="E15" s="17"/>
      <c r="F15" s="19" t="s">
        <v>12</v>
      </c>
      <c r="G15" s="20" t="b">
        <v>1</v>
      </c>
    </row>
    <row r="16" spans="1:7" ht="35.25" customHeight="1">
      <c r="B16">
        <f>ROW(B16)-calcs!$D$5</f>
        <v>-6</v>
      </c>
      <c r="C16" s="16" t="s">
        <v>17</v>
      </c>
      <c r="D16" s="17">
        <v>46063</v>
      </c>
      <c r="E16" s="17">
        <v>46067</v>
      </c>
      <c r="F16" s="18" t="s">
        <v>18</v>
      </c>
      <c r="G16" s="21" t="b">
        <v>1</v>
      </c>
    </row>
    <row r="17" spans="2:7" ht="35.25" customHeight="1">
      <c r="B17">
        <f>ROW(B17)-calcs!$D$5</f>
        <v>-5</v>
      </c>
      <c r="C17" s="52" t="s">
        <v>22</v>
      </c>
      <c r="D17" s="17">
        <f>D16+15</f>
        <v>46078</v>
      </c>
      <c r="E17" s="17">
        <f>Activities[[#This Row],[Start]]+5</f>
        <v>46083</v>
      </c>
      <c r="F17" s="18" t="s">
        <v>12</v>
      </c>
      <c r="G17" s="21" t="b">
        <v>1</v>
      </c>
    </row>
    <row r="18" spans="2:7" ht="35.25" customHeight="1">
      <c r="B18">
        <f>ROW(B18)-calcs!$D$5</f>
        <v>-4</v>
      </c>
      <c r="C18" s="16" t="s">
        <v>19</v>
      </c>
      <c r="D18" s="17">
        <v>46076</v>
      </c>
      <c r="E18" s="17">
        <v>46080</v>
      </c>
      <c r="F18" s="18" t="s">
        <v>20</v>
      </c>
      <c r="G18" s="21" t="b">
        <v>1</v>
      </c>
    </row>
    <row r="19" spans="2:7" ht="35.25" customHeight="1">
      <c r="B19">
        <f>ROW(B19)-calcs!$D$5</f>
        <v>-3</v>
      </c>
      <c r="C19" s="31" t="s">
        <v>23</v>
      </c>
      <c r="D19" s="17">
        <v>46076</v>
      </c>
      <c r="E19" s="17"/>
      <c r="F19" s="18"/>
      <c r="G19" s="22"/>
    </row>
    <row r="20" spans="2:7" ht="35.25" customHeight="1">
      <c r="B20">
        <f>ROW(B20)-calcs!$D$5</f>
        <v>-2</v>
      </c>
      <c r="C20" s="16" t="s">
        <v>24</v>
      </c>
      <c r="D20" s="17">
        <v>46095</v>
      </c>
      <c r="E20" s="17"/>
      <c r="F20" s="19" t="s">
        <v>25</v>
      </c>
      <c r="G20" s="20" t="b">
        <v>0</v>
      </c>
    </row>
    <row r="21" spans="2:7" ht="35.25" customHeight="1">
      <c r="B21">
        <f>ROW(B21)-calcs!$D$5</f>
        <v>-1</v>
      </c>
      <c r="C21" s="16" t="s">
        <v>26</v>
      </c>
      <c r="D21" s="17"/>
      <c r="E21" s="17"/>
      <c r="F21" s="18" t="s">
        <v>25</v>
      </c>
      <c r="G21" s="21" t="b">
        <v>0</v>
      </c>
    </row>
    <row r="22" spans="2:7" ht="35.25" customHeight="1">
      <c r="B22">
        <f>ROW(B22)-calcs!$D$5</f>
        <v>0</v>
      </c>
      <c r="C22" s="16" t="s">
        <v>27</v>
      </c>
      <c r="D22" s="17">
        <v>46101</v>
      </c>
      <c r="E22" s="17"/>
      <c r="F22" s="18" t="s">
        <v>25</v>
      </c>
      <c r="G22" s="45" t="b">
        <v>0</v>
      </c>
    </row>
    <row r="23" spans="2:7" ht="35.25" customHeight="1">
      <c r="B23">
        <f>ROW(B23)-calcs!$D$5</f>
        <v>1</v>
      </c>
      <c r="C23" s="16" t="s">
        <v>28</v>
      </c>
      <c r="D23" s="17">
        <v>46097</v>
      </c>
      <c r="E23" s="17">
        <v>46101</v>
      </c>
      <c r="F23" s="18" t="s">
        <v>18</v>
      </c>
      <c r="G23" s="45" t="b">
        <v>0</v>
      </c>
    </row>
    <row r="24" spans="2:7" ht="35.25" customHeight="1">
      <c r="B24">
        <f>ROW(B24)-calcs!$D$5</f>
        <v>2</v>
      </c>
      <c r="C24" s="31" t="s">
        <v>29</v>
      </c>
      <c r="D24" s="17">
        <v>46108</v>
      </c>
      <c r="E24" s="17"/>
      <c r="F24" s="18"/>
      <c r="G24" s="46"/>
    </row>
    <row r="25" spans="2:7" ht="35.25" customHeight="1">
      <c r="B25">
        <f>ROW(B25)-calcs!$D$5</f>
        <v>3</v>
      </c>
      <c r="C25" s="16" t="s">
        <v>30</v>
      </c>
      <c r="D25" s="17">
        <v>46108</v>
      </c>
      <c r="E25" s="17">
        <v>46110</v>
      </c>
      <c r="F25" s="18" t="s">
        <v>31</v>
      </c>
      <c r="G25" s="45" t="b">
        <v>0</v>
      </c>
    </row>
    <row r="26" spans="2:7" ht="35.25" customHeight="1">
      <c r="B26">
        <f>ROW(B26)-calcs!$D$5</f>
        <v>4</v>
      </c>
      <c r="C26" s="16" t="s">
        <v>32</v>
      </c>
      <c r="D26" s="17">
        <v>46111</v>
      </c>
      <c r="E26" s="17">
        <v>46114</v>
      </c>
      <c r="F26" s="18" t="s">
        <v>18</v>
      </c>
      <c r="G26" s="45" t="b">
        <v>0</v>
      </c>
    </row>
    <row r="27" spans="2:7" ht="35.25" customHeight="1">
      <c r="B27">
        <f>ROW(B27)-calcs!$D$5</f>
        <v>5</v>
      </c>
      <c r="C27" s="16" t="s">
        <v>33</v>
      </c>
      <c r="D27" s="17">
        <v>46119</v>
      </c>
      <c r="E27" s="17"/>
      <c r="F27" s="18" t="s">
        <v>12</v>
      </c>
      <c r="G27" s="45" t="b">
        <v>0</v>
      </c>
    </row>
    <row r="28" spans="2:7" ht="35.25" customHeight="1">
      <c r="B28">
        <f>ROW(B28)-calcs!$D$5</f>
        <v>6</v>
      </c>
      <c r="C28" s="16" t="s">
        <v>34</v>
      </c>
      <c r="D28" s="17">
        <v>46119</v>
      </c>
      <c r="E28" s="17"/>
      <c r="F28" s="18"/>
      <c r="G28" s="46"/>
    </row>
  </sheetData>
  <sheetProtection selectLockedCells="1"/>
  <mergeCells count="3">
    <mergeCell ref="C4:G4"/>
    <mergeCell ref="C1:F1"/>
    <mergeCell ref="D2:E2"/>
  </mergeCells>
  <printOptions horizontalCentered="1"/>
  <pageMargins left="0.25" right="0.25" top="0.5" bottom="0.5" header="0.3" footer="0.3"/>
  <pageSetup fitToHeight="0" orientation="landscape" r:id="rId1"/>
  <headerFooter differentFirst="1">
    <oddFooter>Page &amp;P of &amp;N</oddFooter>
  </headerFooter>
  <ignoredErrors>
    <ignoredError sqref="D25:E29 D9:E9 D10 D7:E7 D11:E11 D18:E18 D22:E23 D12 D19 D24 D8 D13:E16 E20 E21" calculatedColumn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">
              <controlPr defaultSize="0" autoPict="0" altText="Select the scroll bar to modify the project time frame shown on the Timeline Chart or enter the start date for the display of project activities in cell D3">
                <anchor moveWithCells="1">
                  <from>
                    <xdr:col>2</xdr:col>
                    <xdr:colOff>320151</xdr:colOff>
                    <xdr:row>3</xdr:row>
                    <xdr:rowOff>3638776</xdr:rowOff>
                  </from>
                  <to>
                    <xdr:col>24</xdr:col>
                    <xdr:colOff>86395</xdr:colOff>
                    <xdr:row>3</xdr:row>
                    <xdr:rowOff>3805532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B8FA-183F-5547-8B3E-906F8B8071AB}">
  <sheetPr>
    <tabColor theme="4"/>
    <pageSetUpPr autoPageBreaks="0" fitToPage="1"/>
  </sheetPr>
  <dimension ref="B1:H44"/>
  <sheetViews>
    <sheetView showGridLines="0" topLeftCell="A29" zoomScaleNormal="100" workbookViewId="0">
      <selection activeCell="D34" sqref="D34"/>
    </sheetView>
  </sheetViews>
  <sheetFormatPr defaultColWidth="8.42578125" defaultRowHeight="33" customHeight="1"/>
  <cols>
    <col min="1" max="1" width="2.7109375" style="24" customWidth="1"/>
    <col min="2" max="2" width="23.28515625" style="24" customWidth="1"/>
    <col min="3" max="3" width="19.7109375" style="24" customWidth="1"/>
    <col min="4" max="4" width="16.42578125" style="24" customWidth="1"/>
    <col min="5" max="5" width="18.85546875" style="24" customWidth="1"/>
    <col min="6" max="6" width="3" style="24" customWidth="1"/>
    <col min="7" max="7" width="29.42578125" style="24" customWidth="1"/>
    <col min="8" max="8" width="20.85546875" style="24" customWidth="1"/>
    <col min="9" max="16384" width="8.42578125" style="24"/>
  </cols>
  <sheetData>
    <row r="1" spans="2:8" ht="30" customHeight="1">
      <c r="B1" s="35" t="s">
        <v>35</v>
      </c>
      <c r="C1" s="34"/>
      <c r="D1" s="34"/>
      <c r="E1" s="34"/>
      <c r="F1" s="34"/>
      <c r="G1" s="34"/>
      <c r="H1" s="34"/>
    </row>
    <row r="2" spans="2:8" ht="24.95" customHeight="1">
      <c r="B2" s="36" t="s">
        <v>36</v>
      </c>
      <c r="C2" s="37" t="s">
        <v>37</v>
      </c>
      <c r="D2" s="37" t="s">
        <v>38</v>
      </c>
      <c r="E2" s="38" t="s">
        <v>39</v>
      </c>
      <c r="F2" s="23" t="s">
        <v>40</v>
      </c>
      <c r="G2" s="36" t="s">
        <v>41</v>
      </c>
      <c r="H2" s="39" t="s">
        <v>42</v>
      </c>
    </row>
    <row r="3" spans="2:8" ht="33" customHeight="1">
      <c r="B3" s="26" t="s">
        <v>43</v>
      </c>
      <c r="C3" s="25" t="s">
        <v>44</v>
      </c>
      <c r="D3" s="25">
        <v>45995</v>
      </c>
      <c r="E3" s="40">
        <v>1</v>
      </c>
      <c r="F3" s="28">
        <f>--(Tasks[[#This Row],[% COMPLETE]]&gt;=1)</f>
        <v>1</v>
      </c>
      <c r="G3" s="30" t="s">
        <v>45</v>
      </c>
      <c r="H3" s="26" t="s">
        <v>46</v>
      </c>
    </row>
    <row r="4" spans="2:8" ht="33" customHeight="1">
      <c r="B4" s="44" t="s">
        <v>47</v>
      </c>
      <c r="C4" s="25">
        <v>46008</v>
      </c>
      <c r="D4" s="25">
        <v>46008</v>
      </c>
      <c r="E4" s="29">
        <v>1</v>
      </c>
      <c r="F4" s="28">
        <f>--(Tasks[[#This Row],[% COMPLETE]]&gt;=1)</f>
        <v>1</v>
      </c>
      <c r="G4" s="26" t="s">
        <v>48</v>
      </c>
      <c r="H4" s="26" t="s">
        <v>46</v>
      </c>
    </row>
    <row r="5" spans="2:8" ht="33" customHeight="1">
      <c r="B5" s="26" t="s">
        <v>49</v>
      </c>
      <c r="C5" s="25">
        <v>46028</v>
      </c>
      <c r="D5" s="25">
        <v>46028</v>
      </c>
      <c r="E5" s="42">
        <v>1</v>
      </c>
      <c r="F5" s="43">
        <f>--(Tasks[[#This Row],[% COMPLETE]]&gt;=1)</f>
        <v>1</v>
      </c>
      <c r="G5" s="47" t="s">
        <v>50</v>
      </c>
      <c r="H5" s="26" t="s">
        <v>46</v>
      </c>
    </row>
    <row r="6" spans="2:8" ht="33" customHeight="1">
      <c r="B6" s="26" t="s">
        <v>51</v>
      </c>
      <c r="C6" s="25">
        <v>46033</v>
      </c>
      <c r="D6" s="25">
        <v>46033</v>
      </c>
      <c r="E6" s="41">
        <v>1</v>
      </c>
      <c r="F6" s="28">
        <f>--(Tasks[[#This Row],[% COMPLETE]]&gt;=1)</f>
        <v>1</v>
      </c>
      <c r="G6" s="26" t="s">
        <v>52</v>
      </c>
      <c r="H6" s="26" t="s">
        <v>46</v>
      </c>
    </row>
    <row r="7" spans="2:8" ht="33" customHeight="1">
      <c r="B7" s="26" t="s">
        <v>53</v>
      </c>
      <c r="C7" s="25">
        <v>46008</v>
      </c>
      <c r="D7" s="25">
        <v>46042</v>
      </c>
      <c r="E7" s="41">
        <v>1</v>
      </c>
      <c r="F7" s="28">
        <f>--(Tasks[[#This Row],[% COMPLETE]]&gt;=1)</f>
        <v>1</v>
      </c>
      <c r="G7" s="26"/>
      <c r="H7" s="26" t="s">
        <v>46</v>
      </c>
    </row>
    <row r="8" spans="2:8" ht="33" customHeight="1">
      <c r="B8" s="26" t="s">
        <v>54</v>
      </c>
      <c r="C8" s="25">
        <v>46010</v>
      </c>
      <c r="D8" s="25">
        <v>46050</v>
      </c>
      <c r="E8" s="41">
        <v>1</v>
      </c>
      <c r="F8" s="28">
        <f>--(Tasks[[#This Row],[% COMPLETE]]&gt;=1)</f>
        <v>1</v>
      </c>
      <c r="G8" s="26" t="s">
        <v>55</v>
      </c>
      <c r="H8" s="26" t="s">
        <v>46</v>
      </c>
    </row>
    <row r="9" spans="2:8" ht="33" customHeight="1">
      <c r="B9" s="26" t="s">
        <v>56</v>
      </c>
      <c r="C9" s="25">
        <v>46052</v>
      </c>
      <c r="D9" s="25">
        <v>46058</v>
      </c>
      <c r="E9" s="41">
        <v>1</v>
      </c>
      <c r="F9" s="28">
        <f>--(Tasks[[#This Row],[% COMPLETE]]&gt;=1)</f>
        <v>1</v>
      </c>
      <c r="G9" s="26"/>
      <c r="H9" s="26"/>
    </row>
    <row r="10" spans="2:8" ht="33" customHeight="1">
      <c r="B10" s="26" t="s">
        <v>57</v>
      </c>
      <c r="C10" s="25">
        <v>46055</v>
      </c>
      <c r="D10" s="25">
        <v>46059</v>
      </c>
      <c r="E10" s="27">
        <v>1</v>
      </c>
      <c r="F10" s="28">
        <f>--(Tasks[[#This Row],[% COMPLETE]]&gt;=1)</f>
        <v>1</v>
      </c>
      <c r="G10" s="26" t="s">
        <v>58</v>
      </c>
      <c r="H10" s="26"/>
    </row>
    <row r="11" spans="2:8" ht="33" customHeight="1">
      <c r="B11" s="26" t="s">
        <v>59</v>
      </c>
      <c r="C11" s="25">
        <v>46052</v>
      </c>
      <c r="D11" s="25">
        <v>46060</v>
      </c>
      <c r="E11" s="41">
        <v>1</v>
      </c>
      <c r="F11" s="28">
        <f>--(Tasks[[#This Row],[% COMPLETE]]&gt;=1)</f>
        <v>1</v>
      </c>
      <c r="G11" s="26" t="s">
        <v>58</v>
      </c>
      <c r="H11" s="26"/>
    </row>
    <row r="12" spans="2:8" ht="33" customHeight="1">
      <c r="B12" s="26" t="s">
        <v>60</v>
      </c>
      <c r="C12" s="25">
        <v>46052</v>
      </c>
      <c r="D12" s="25">
        <v>46061</v>
      </c>
      <c r="E12" s="41">
        <v>1</v>
      </c>
      <c r="F12" s="28">
        <f>--(Tasks[[#This Row],[% COMPLETE]]&gt;=1)</f>
        <v>1</v>
      </c>
      <c r="G12" s="26"/>
      <c r="H12" s="26"/>
    </row>
    <row r="13" spans="2:8" ht="33" customHeight="1">
      <c r="B13" s="26" t="s">
        <v>61</v>
      </c>
      <c r="C13" s="25">
        <v>46057</v>
      </c>
      <c r="D13" s="25">
        <v>46061</v>
      </c>
      <c r="E13" s="27">
        <v>1</v>
      </c>
      <c r="F13" s="28">
        <f>--(Tasks[[#This Row],[% COMPLETE]]&gt;=1)</f>
        <v>1</v>
      </c>
      <c r="G13" s="26"/>
      <c r="H13" s="26"/>
    </row>
    <row r="14" spans="2:8" ht="33" customHeight="1">
      <c r="B14" s="26" t="s">
        <v>62</v>
      </c>
      <c r="C14" s="25">
        <v>46058</v>
      </c>
      <c r="D14" s="25">
        <v>46064</v>
      </c>
      <c r="E14" s="27">
        <v>1</v>
      </c>
      <c r="F14" s="28">
        <f>--(Tasks[[#This Row],[% COMPLETE]]&gt;=1)</f>
        <v>1</v>
      </c>
      <c r="G14" s="26" t="s">
        <v>63</v>
      </c>
      <c r="H14" s="26"/>
    </row>
    <row r="15" spans="2:8" ht="33" customHeight="1">
      <c r="B15" s="26" t="s">
        <v>64</v>
      </c>
      <c r="C15" s="25">
        <v>46057</v>
      </c>
      <c r="D15" s="25">
        <v>46065</v>
      </c>
      <c r="E15" s="27">
        <v>1</v>
      </c>
      <c r="F15" s="28">
        <f>--(Tasks[[#This Row],[% COMPLETE]]&gt;=1)</f>
        <v>1</v>
      </c>
      <c r="G15" s="26"/>
      <c r="H15" s="26"/>
    </row>
    <row r="16" spans="2:8" ht="33" customHeight="1">
      <c r="B16" s="26" t="s">
        <v>65</v>
      </c>
      <c r="C16" s="25">
        <v>46057</v>
      </c>
      <c r="D16" s="25">
        <v>46065</v>
      </c>
      <c r="E16" s="27">
        <v>1</v>
      </c>
      <c r="F16" s="28">
        <f>--(Tasks[[#This Row],[% COMPLETE]]&gt;=1)</f>
        <v>1</v>
      </c>
      <c r="G16" s="26"/>
      <c r="H16" s="26"/>
    </row>
    <row r="17" spans="2:8" ht="33" customHeight="1">
      <c r="B17" s="26" t="s">
        <v>66</v>
      </c>
      <c r="C17" s="25">
        <v>46057</v>
      </c>
      <c r="D17" s="25">
        <v>46067</v>
      </c>
      <c r="E17" s="27">
        <v>1</v>
      </c>
      <c r="F17" s="28">
        <f>--(Tasks[[#This Row],[% COMPLETE]]&gt;=1)</f>
        <v>1</v>
      </c>
      <c r="G17" s="26"/>
      <c r="H17" s="26"/>
    </row>
    <row r="18" spans="2:8" ht="33" customHeight="1">
      <c r="B18" s="26" t="s">
        <v>67</v>
      </c>
      <c r="C18" s="25">
        <v>46052</v>
      </c>
      <c r="D18" s="25">
        <v>46070</v>
      </c>
      <c r="E18" s="41">
        <v>1</v>
      </c>
      <c r="F18" s="28">
        <f>--(Tasks[[#This Row],[% COMPLETE]]&gt;=1)</f>
        <v>1</v>
      </c>
      <c r="G18" s="26"/>
      <c r="H18" s="26"/>
    </row>
    <row r="19" spans="2:8" ht="33" customHeight="1">
      <c r="B19" s="26" t="s">
        <v>68</v>
      </c>
      <c r="C19" s="25">
        <v>46052</v>
      </c>
      <c r="D19" s="25">
        <v>46075</v>
      </c>
      <c r="E19" s="41">
        <v>1</v>
      </c>
      <c r="F19" s="28">
        <f>--(Tasks[[#This Row],[% COMPLETE]]&gt;=1)</f>
        <v>1</v>
      </c>
      <c r="G19" s="26" t="s">
        <v>58</v>
      </c>
      <c r="H19" s="26"/>
    </row>
    <row r="20" spans="2:8" ht="33" customHeight="1">
      <c r="B20" s="26" t="s">
        <v>69</v>
      </c>
      <c r="C20" s="25">
        <v>46052</v>
      </c>
      <c r="D20" s="25">
        <v>46075</v>
      </c>
      <c r="E20" s="41">
        <v>1</v>
      </c>
      <c r="F20" s="28">
        <f>--(Tasks[[#This Row],[% COMPLETE]]&gt;=1)</f>
        <v>1</v>
      </c>
      <c r="G20" s="26" t="s">
        <v>58</v>
      </c>
      <c r="H20" s="26"/>
    </row>
    <row r="21" spans="2:8" ht="33" customHeight="1">
      <c r="B21" s="26" t="s">
        <v>70</v>
      </c>
      <c r="C21" s="25">
        <v>46052</v>
      </c>
      <c r="D21" s="25">
        <f>D19</f>
        <v>46075</v>
      </c>
      <c r="E21" s="41">
        <v>1</v>
      </c>
      <c r="F21" s="28">
        <f>--(Tasks[[#This Row],[% COMPLETE]]&gt;=1)</f>
        <v>1</v>
      </c>
      <c r="G21" s="26" t="s">
        <v>58</v>
      </c>
      <c r="H21" s="26"/>
    </row>
    <row r="22" spans="2:8" ht="33" customHeight="1">
      <c r="B22" s="26" t="s">
        <v>71</v>
      </c>
      <c r="C22" s="25">
        <v>46057</v>
      </c>
      <c r="D22" s="25">
        <v>46076</v>
      </c>
      <c r="E22" s="27">
        <v>1</v>
      </c>
      <c r="F22" s="28">
        <f>--(Tasks[[#This Row],[% COMPLETE]]&gt;=1)</f>
        <v>1</v>
      </c>
      <c r="G22" s="26" t="s">
        <v>58</v>
      </c>
      <c r="H22" s="26"/>
    </row>
    <row r="23" spans="2:8" ht="33" customHeight="1">
      <c r="B23" s="26" t="s">
        <v>72</v>
      </c>
      <c r="C23" s="25">
        <v>46057</v>
      </c>
      <c r="D23" s="25">
        <v>46076</v>
      </c>
      <c r="E23" s="27">
        <v>1</v>
      </c>
      <c r="F23" s="28">
        <f>--(Tasks[[#This Row],[% COMPLETE]]&gt;=1)</f>
        <v>1</v>
      </c>
      <c r="G23" s="26" t="s">
        <v>58</v>
      </c>
      <c r="H23" s="26"/>
    </row>
    <row r="24" spans="2:8" ht="33" customHeight="1">
      <c r="B24" s="26" t="s">
        <v>73</v>
      </c>
      <c r="C24" s="25">
        <v>46057</v>
      </c>
      <c r="D24" s="25">
        <v>46077</v>
      </c>
      <c r="E24" s="27">
        <v>1</v>
      </c>
      <c r="F24" s="28">
        <f>--(Tasks[[#This Row],[% COMPLETE]]&gt;=1)</f>
        <v>1</v>
      </c>
      <c r="G24" s="26"/>
      <c r="H24" s="26"/>
    </row>
    <row r="25" spans="2:8" ht="33" customHeight="1">
      <c r="B25" s="26" t="s">
        <v>74</v>
      </c>
      <c r="C25" s="25">
        <v>46057</v>
      </c>
      <c r="D25" s="25">
        <v>46077</v>
      </c>
      <c r="E25" s="27">
        <v>1</v>
      </c>
      <c r="F25" s="28">
        <f>--(Tasks[[#This Row],[% COMPLETE]]&gt;=1)</f>
        <v>1</v>
      </c>
      <c r="G25" s="26"/>
      <c r="H25" s="26"/>
    </row>
    <row r="26" spans="2:8" ht="33" customHeight="1">
      <c r="B26" s="26" t="s">
        <v>75</v>
      </c>
      <c r="C26" s="25">
        <v>46052</v>
      </c>
      <c r="D26" s="25">
        <v>46078</v>
      </c>
      <c r="E26" s="41">
        <v>1</v>
      </c>
      <c r="F26" s="28">
        <f>--(Tasks[[#This Row],[% COMPLETE]]&gt;=1)</f>
        <v>1</v>
      </c>
      <c r="G26" s="26"/>
      <c r="H26" s="26"/>
    </row>
    <row r="27" spans="2:8" ht="33" customHeight="1">
      <c r="B27" s="26" t="s">
        <v>76</v>
      </c>
      <c r="C27" s="25">
        <v>46057</v>
      </c>
      <c r="D27" s="25">
        <v>46080</v>
      </c>
      <c r="E27" s="27">
        <v>1</v>
      </c>
      <c r="F27" s="28">
        <f>--(Tasks[[#This Row],[% COMPLETE]]&gt;=1)</f>
        <v>1</v>
      </c>
      <c r="G27" s="26"/>
      <c r="H27" s="26"/>
    </row>
    <row r="28" spans="2:8" ht="33" customHeight="1">
      <c r="B28" s="26" t="s">
        <v>77</v>
      </c>
      <c r="C28" s="25">
        <v>46057</v>
      </c>
      <c r="D28" s="25">
        <v>46081</v>
      </c>
      <c r="E28" s="27">
        <v>1</v>
      </c>
      <c r="F28" s="28">
        <f>--(Tasks[[#This Row],[% COMPLETE]]&gt;=1)</f>
        <v>1</v>
      </c>
      <c r="G28" s="26"/>
      <c r="H28" s="26"/>
    </row>
    <row r="29" spans="2:8" ht="33" customHeight="1">
      <c r="B29" s="26" t="s">
        <v>78</v>
      </c>
      <c r="C29" s="25">
        <v>46057</v>
      </c>
      <c r="D29" s="25">
        <v>46081</v>
      </c>
      <c r="E29" s="27">
        <v>1</v>
      </c>
      <c r="F29" s="28">
        <f>--(Tasks[[#This Row],[% COMPLETE]]&gt;=1)</f>
        <v>1</v>
      </c>
      <c r="G29" s="26"/>
      <c r="H29" s="26"/>
    </row>
    <row r="30" spans="2:8" ht="33" customHeight="1">
      <c r="B30" s="26" t="s">
        <v>79</v>
      </c>
      <c r="C30" s="25">
        <v>46052</v>
      </c>
      <c r="D30" s="25">
        <v>46081</v>
      </c>
      <c r="E30" s="41">
        <v>1</v>
      </c>
      <c r="F30" s="28">
        <f>--(Tasks[[#This Row],[% COMPLETE]]&gt;=1)</f>
        <v>1</v>
      </c>
      <c r="G30" s="26"/>
      <c r="H30" s="26"/>
    </row>
    <row r="31" spans="2:8" ht="33" customHeight="1">
      <c r="B31" s="26" t="s">
        <v>80</v>
      </c>
      <c r="C31" s="25">
        <v>46057</v>
      </c>
      <c r="D31" s="25">
        <v>46081</v>
      </c>
      <c r="E31" s="27">
        <v>1</v>
      </c>
      <c r="F31" s="28">
        <f>--(Tasks[[#This Row],[% COMPLETE]]&gt;=1)</f>
        <v>1</v>
      </c>
      <c r="G31" s="26" t="s">
        <v>58</v>
      </c>
      <c r="H31" s="26"/>
    </row>
    <row r="32" spans="2:8" ht="33" customHeight="1">
      <c r="B32" s="26" t="s">
        <v>81</v>
      </c>
      <c r="C32" s="25">
        <v>46057</v>
      </c>
      <c r="D32" s="25">
        <v>46081</v>
      </c>
      <c r="E32" s="27">
        <v>1</v>
      </c>
      <c r="F32" s="28">
        <f>--(Tasks[[#This Row],[% COMPLETE]]&gt;=1)</f>
        <v>1</v>
      </c>
      <c r="G32" s="26" t="s">
        <v>58</v>
      </c>
      <c r="H32" s="26"/>
    </row>
    <row r="33" spans="2:8" ht="33" customHeight="1">
      <c r="B33" s="26" t="s">
        <v>82</v>
      </c>
      <c r="C33" s="25">
        <v>46057</v>
      </c>
      <c r="D33" s="25">
        <v>46081</v>
      </c>
      <c r="E33" s="27">
        <v>1</v>
      </c>
      <c r="F33" s="28">
        <f>--(Tasks[[#This Row],[% COMPLETE]]&gt;=1)</f>
        <v>1</v>
      </c>
      <c r="G33" s="26" t="s">
        <v>58</v>
      </c>
      <c r="H33" s="26"/>
    </row>
    <row r="34" spans="2:8" ht="33" customHeight="1">
      <c r="B34" s="26" t="s">
        <v>83</v>
      </c>
      <c r="C34" s="25">
        <v>46057</v>
      </c>
      <c r="D34" s="25">
        <v>46089</v>
      </c>
      <c r="E34" s="27">
        <v>1</v>
      </c>
      <c r="F34" s="28">
        <f>--(Tasks[[#This Row],[% COMPLETE]]&gt;=1)</f>
        <v>1</v>
      </c>
      <c r="G34" s="26" t="s">
        <v>58</v>
      </c>
      <c r="H34" s="26"/>
    </row>
    <row r="35" spans="2:8" ht="33" customHeight="1">
      <c r="B35" s="26" t="s">
        <v>84</v>
      </c>
      <c r="C35" s="25">
        <v>46057</v>
      </c>
      <c r="D35" s="25">
        <v>46094</v>
      </c>
      <c r="E35" s="27">
        <v>0</v>
      </c>
      <c r="F35" s="28">
        <f>--(Tasks[[#This Row],[% COMPLETE]]&gt;=1)</f>
        <v>0</v>
      </c>
      <c r="G35" s="26" t="s">
        <v>58</v>
      </c>
      <c r="H35" s="26"/>
    </row>
    <row r="36" spans="2:8" ht="33" customHeight="1">
      <c r="B36" s="26" t="s">
        <v>85</v>
      </c>
      <c r="C36" s="25">
        <v>45687</v>
      </c>
      <c r="D36" s="25">
        <v>46094</v>
      </c>
      <c r="E36" s="41">
        <v>0</v>
      </c>
      <c r="F36" s="28">
        <f>--(Tasks[[#This Row],[% COMPLETE]]&gt;=1)</f>
        <v>0</v>
      </c>
      <c r="G36" s="26" t="s">
        <v>86</v>
      </c>
      <c r="H36" s="26"/>
    </row>
    <row r="37" spans="2:8" ht="33" customHeight="1">
      <c r="B37" s="26" t="s">
        <v>87</v>
      </c>
      <c r="C37" s="25">
        <v>46057</v>
      </c>
      <c r="D37" s="25">
        <v>46094</v>
      </c>
      <c r="E37" s="27">
        <v>0</v>
      </c>
      <c r="F37" s="28">
        <f>--(Tasks[[#This Row],[% COMPLETE]]&gt;=1)</f>
        <v>0</v>
      </c>
      <c r="G37" s="26" t="s">
        <v>58</v>
      </c>
      <c r="H37" s="26"/>
    </row>
    <row r="38" spans="2:8" ht="33" customHeight="1">
      <c r="B38" s="26"/>
      <c r="C38" s="25"/>
      <c r="D38" s="25"/>
      <c r="E38" s="27">
        <v>0</v>
      </c>
      <c r="F38" s="28">
        <f>--(Tasks[[#This Row],[% COMPLETE]]&gt;=1)</f>
        <v>0</v>
      </c>
      <c r="G38" s="26"/>
      <c r="H38" s="26"/>
    </row>
    <row r="39" spans="2:8" ht="33" customHeight="1">
      <c r="B39" s="26"/>
      <c r="C39" s="25"/>
      <c r="D39" s="25"/>
      <c r="E39" s="41">
        <v>0</v>
      </c>
      <c r="F39" s="28">
        <f>--(Tasks[[#This Row],[% COMPLETE]]&gt;=1)</f>
        <v>0</v>
      </c>
      <c r="G39" s="26"/>
      <c r="H39" s="26"/>
    </row>
    <row r="40" spans="2:8" ht="33" customHeight="1">
      <c r="B40" s="26"/>
      <c r="C40" s="25"/>
      <c r="D40" s="25"/>
      <c r="E40" s="41">
        <v>0</v>
      </c>
      <c r="F40" s="28">
        <f>--(Tasks[[#This Row],[% COMPLETE]]&gt;=1)</f>
        <v>0</v>
      </c>
      <c r="G40" s="26"/>
      <c r="H40" s="26"/>
    </row>
    <row r="41" spans="2:8" ht="33" customHeight="1">
      <c r="B41" s="26"/>
      <c r="C41" s="25"/>
      <c r="D41" s="25"/>
      <c r="E41" s="41">
        <v>0</v>
      </c>
      <c r="F41" s="28">
        <f>--(Tasks[[#This Row],[% COMPLETE]]&gt;=1)</f>
        <v>0</v>
      </c>
      <c r="G41" s="26"/>
      <c r="H41" s="26"/>
    </row>
    <row r="42" spans="2:8" ht="33" customHeight="1">
      <c r="B42" s="26"/>
      <c r="C42" s="25"/>
      <c r="D42" s="25"/>
      <c r="E42" s="27"/>
      <c r="F42" s="28">
        <f>--(Tasks[[#This Row],[% COMPLETE]]&gt;=1)</f>
        <v>0</v>
      </c>
      <c r="G42" s="26"/>
      <c r="H42" s="26"/>
    </row>
    <row r="43" spans="2:8" ht="33" customHeight="1">
      <c r="B43" s="26"/>
      <c r="C43" s="25"/>
      <c r="D43" s="25"/>
      <c r="E43" s="27"/>
      <c r="F43" s="28">
        <f>--(Tasks[[#This Row],[% COMPLETE]]&gt;=1)</f>
        <v>0</v>
      </c>
      <c r="G43" s="26"/>
      <c r="H43" s="26"/>
    </row>
    <row r="44" spans="2:8" ht="33" customHeight="1">
      <c r="B44" s="26"/>
      <c r="C44" s="25"/>
      <c r="D44" s="25"/>
      <c r="E44" s="27"/>
      <c r="F44" s="28">
        <f>--(Tasks[[#This Row],[% COMPLETE]]&gt;=1)</f>
        <v>0</v>
      </c>
      <c r="G44" s="26"/>
      <c r="H44" s="26"/>
    </row>
  </sheetData>
  <sheetProtection formatCells="0" formatColumns="0" formatRows="0" insertColumns="0" insertRows="0" deleteColumns="0" deleteRows="0" selectLockedCells="1" sort="0" autoFilter="0"/>
  <conditionalFormatting sqref="E3:E44">
    <cfRule type="dataBar" priority="1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{0F3D082A-5EA1-904E-B637-F7CAB3CD6DFC}</x14:id>
        </ext>
      </extLst>
    </cfRule>
  </conditionalFormatting>
  <dataValidations count="1">
    <dataValidation type="list" errorStyle="warning" allowBlank="1" showInputMessage="1" showErrorMessage="1" error="Select a value from the dropdown list. Or enter one of the following: 0%, 25%, 50%, 75%, or 100%" sqref="E3:E44" xr:uid="{00000000-0002-0000-0000-000000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3D082A-5EA1-904E-B637-F7CAB3CD6DFC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negativeBorderColor rgb="FFFF0000"/>
              <x14:axisColor rgb="FF000000"/>
            </x14:dataBar>
          </x14:cfRule>
          <xm:sqref>E3:E44</xm:sqref>
        </x14:conditionalFormatting>
        <x14:conditionalFormatting xmlns:xm="http://schemas.microsoft.com/office/excel/2006/main">
          <x14:cfRule type="iconSet" priority="110" id="{1FE25831-0861-AB43-86FD-4CB705CDD9D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4TrafficLights" iconId="0"/>
            </x14:iconSet>
          </x14:cfRule>
          <xm:sqref>F3:F44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B079-40DA-FD49-94EF-86D099DDB619}">
  <dimension ref="A1:J11"/>
  <sheetViews>
    <sheetView workbookViewId="0">
      <selection activeCell="J15" sqref="J15"/>
    </sheetView>
  </sheetViews>
  <sheetFormatPr defaultColWidth="10.85546875" defaultRowHeight="15"/>
  <cols>
    <col min="8" max="8" width="32.42578125" customWidth="1"/>
    <col min="10" max="10" width="10.85546875" customWidth="1"/>
  </cols>
  <sheetData>
    <row r="1" spans="1:10" ht="48">
      <c r="B1" s="48" t="s">
        <v>88</v>
      </c>
      <c r="C1" s="48" t="s">
        <v>89</v>
      </c>
      <c r="D1" s="48" t="s">
        <v>90</v>
      </c>
      <c r="E1" s="48" t="s">
        <v>91</v>
      </c>
      <c r="F1" s="48" t="s">
        <v>92</v>
      </c>
      <c r="G1" s="48" t="s">
        <v>93</v>
      </c>
      <c r="H1" s="48" t="s">
        <v>94</v>
      </c>
      <c r="J1" s="48" t="s">
        <v>95</v>
      </c>
    </row>
    <row r="2" spans="1:10" ht="15.95">
      <c r="B2" t="s">
        <v>96</v>
      </c>
      <c r="C2" t="s">
        <v>97</v>
      </c>
      <c r="D2" t="s">
        <v>98</v>
      </c>
      <c r="G2" s="1">
        <v>46067</v>
      </c>
      <c r="J2">
        <v>54.2</v>
      </c>
    </row>
    <row r="3" spans="1:10" ht="15.95">
      <c r="B3" t="s">
        <v>99</v>
      </c>
      <c r="C3" t="s">
        <v>100</v>
      </c>
      <c r="D3" t="s">
        <v>101</v>
      </c>
      <c r="G3" s="1">
        <v>46067</v>
      </c>
      <c r="J3">
        <v>53.8</v>
      </c>
    </row>
    <row r="4" spans="1:10" ht="15.95">
      <c r="B4" t="s">
        <v>99</v>
      </c>
      <c r="C4" t="s">
        <v>102</v>
      </c>
      <c r="D4" t="s">
        <v>98</v>
      </c>
      <c r="G4" s="1">
        <v>46067</v>
      </c>
      <c r="J4">
        <v>50.9</v>
      </c>
    </row>
    <row r="5" spans="1:10" ht="15.95">
      <c r="B5" t="s">
        <v>99</v>
      </c>
      <c r="C5" t="s">
        <v>103</v>
      </c>
      <c r="D5" t="s">
        <v>101</v>
      </c>
      <c r="G5" s="1">
        <v>46067</v>
      </c>
      <c r="J5">
        <v>51</v>
      </c>
    </row>
    <row r="6" spans="1:10" ht="15.95">
      <c r="B6" t="s">
        <v>99</v>
      </c>
      <c r="C6" t="s">
        <v>104</v>
      </c>
      <c r="D6" t="s">
        <v>101</v>
      </c>
      <c r="G6" s="1">
        <v>46067</v>
      </c>
      <c r="J6">
        <v>52.1</v>
      </c>
    </row>
    <row r="7" spans="1:10" ht="32.1">
      <c r="A7" t="s">
        <v>105</v>
      </c>
      <c r="E7" t="s">
        <v>106</v>
      </c>
      <c r="F7" t="s">
        <v>107</v>
      </c>
      <c r="G7" s="1"/>
      <c r="H7" t="s">
        <v>108</v>
      </c>
    </row>
    <row r="8" spans="1:10">
      <c r="G8" s="1"/>
    </row>
    <row r="9" spans="1:10">
      <c r="G9" s="1"/>
    </row>
    <row r="10" spans="1:10">
      <c r="G10" s="1"/>
    </row>
    <row r="11" spans="1:10">
      <c r="G1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4B414-F71C-8745-8108-6708354E7CFC}">
  <dimension ref="A1:P121"/>
  <sheetViews>
    <sheetView topLeftCell="A43" zoomScale="125" workbookViewId="0">
      <selection activeCell="L7" sqref="L7"/>
    </sheetView>
  </sheetViews>
  <sheetFormatPr defaultColWidth="10.85546875" defaultRowHeight="15"/>
  <cols>
    <col min="4" max="4" width="10.85546875" customWidth="1"/>
    <col min="8" max="9" width="11.140625" bestFit="1" customWidth="1"/>
    <col min="10" max="10" width="32.42578125" customWidth="1"/>
  </cols>
  <sheetData>
    <row r="1" spans="1:16" ht="63.95">
      <c r="A1" s="48" t="s">
        <v>88</v>
      </c>
      <c r="B1" s="48" t="s">
        <v>89</v>
      </c>
      <c r="C1" s="48" t="s">
        <v>90</v>
      </c>
      <c r="D1" s="48" t="s">
        <v>109</v>
      </c>
      <c r="E1" s="48" t="s">
        <v>110</v>
      </c>
      <c r="F1" s="48" t="s">
        <v>111</v>
      </c>
      <c r="G1" s="48" t="s">
        <v>91</v>
      </c>
      <c r="H1" s="48" t="s">
        <v>93</v>
      </c>
      <c r="I1" s="48" t="s">
        <v>112</v>
      </c>
      <c r="J1" s="48" t="s">
        <v>94</v>
      </c>
      <c r="K1" s="48" t="s">
        <v>113</v>
      </c>
      <c r="N1" t="s">
        <v>114</v>
      </c>
      <c r="O1" t="s">
        <v>115</v>
      </c>
      <c r="P1" t="s">
        <v>116</v>
      </c>
    </row>
    <row r="2" spans="1:16" ht="15.95">
      <c r="A2" t="s">
        <v>117</v>
      </c>
      <c r="B2" t="s">
        <v>118</v>
      </c>
      <c r="C2" s="49" t="s">
        <v>98</v>
      </c>
      <c r="D2">
        <v>15.5</v>
      </c>
      <c r="E2">
        <v>6.2115</v>
      </c>
      <c r="F2">
        <v>6.1558999999999999</v>
      </c>
      <c r="G2">
        <f t="shared" ref="G2:G20" si="0">E2-F2</f>
        <v>5.5600000000000094E-2</v>
      </c>
      <c r="H2" s="1">
        <v>46055</v>
      </c>
      <c r="I2" s="1">
        <v>46059</v>
      </c>
      <c r="K2" t="s">
        <v>119</v>
      </c>
      <c r="N2">
        <v>4.2354000000000003</v>
      </c>
      <c r="O2">
        <v>2.0486</v>
      </c>
      <c r="P2">
        <f>N2-O2</f>
        <v>2.1868000000000003</v>
      </c>
    </row>
    <row r="3" spans="1:16" ht="15.95">
      <c r="A3" t="s">
        <v>117</v>
      </c>
      <c r="B3" t="s">
        <v>120</v>
      </c>
      <c r="C3" s="50" t="s">
        <v>101</v>
      </c>
      <c r="D3">
        <v>17.899999999999999</v>
      </c>
      <c r="E3">
        <v>6.1195000000000004</v>
      </c>
      <c r="F3">
        <v>6.0522999999999998</v>
      </c>
      <c r="G3">
        <f t="shared" si="0"/>
        <v>6.7200000000000593E-2</v>
      </c>
      <c r="H3" s="1">
        <v>46055</v>
      </c>
      <c r="I3" s="1">
        <v>46059</v>
      </c>
      <c r="J3" t="s">
        <v>121</v>
      </c>
      <c r="K3" t="s">
        <v>119</v>
      </c>
    </row>
    <row r="4" spans="1:16" ht="15.95">
      <c r="A4" t="s">
        <v>117</v>
      </c>
      <c r="B4" t="s">
        <v>122</v>
      </c>
      <c r="C4" s="50" t="s">
        <v>101</v>
      </c>
      <c r="D4">
        <v>18</v>
      </c>
      <c r="E4">
        <v>6.2013999999999996</v>
      </c>
      <c r="F4">
        <v>6.1330999999999998</v>
      </c>
      <c r="G4">
        <f t="shared" si="0"/>
        <v>6.8299999999999805E-2</v>
      </c>
      <c r="H4" s="1">
        <v>46055</v>
      </c>
      <c r="I4" s="1">
        <v>46059</v>
      </c>
      <c r="J4" t="s">
        <v>121</v>
      </c>
      <c r="K4" t="s">
        <v>119</v>
      </c>
    </row>
    <row r="5" spans="1:16" ht="15.95">
      <c r="A5" t="s">
        <v>117</v>
      </c>
      <c r="B5" t="s">
        <v>123</v>
      </c>
      <c r="C5" s="50" t="s">
        <v>101</v>
      </c>
      <c r="D5">
        <v>16.5</v>
      </c>
      <c r="E5">
        <v>6.2553999999999998</v>
      </c>
      <c r="F5">
        <v>6.1782000000000004</v>
      </c>
      <c r="G5">
        <f t="shared" si="0"/>
        <v>7.7199999999999491E-2</v>
      </c>
      <c r="H5" s="1">
        <v>46055</v>
      </c>
      <c r="I5" s="1">
        <v>46059</v>
      </c>
      <c r="K5" t="s">
        <v>119</v>
      </c>
    </row>
    <row r="6" spans="1:16" ht="15.95">
      <c r="A6" t="s">
        <v>117</v>
      </c>
      <c r="B6" t="s">
        <v>124</v>
      </c>
      <c r="C6" s="49" t="s">
        <v>98</v>
      </c>
      <c r="D6">
        <v>15.2</v>
      </c>
      <c r="E6">
        <v>6.1806000000000001</v>
      </c>
      <c r="F6">
        <v>6.1395</v>
      </c>
      <c r="G6">
        <f t="shared" si="0"/>
        <v>4.1100000000000136E-2</v>
      </c>
      <c r="H6" s="1">
        <v>46055</v>
      </c>
      <c r="I6" s="1">
        <v>46059</v>
      </c>
      <c r="K6" t="s">
        <v>119</v>
      </c>
    </row>
    <row r="7" spans="1:16" ht="15.95">
      <c r="A7" t="s">
        <v>117</v>
      </c>
      <c r="B7" t="s">
        <v>125</v>
      </c>
      <c r="C7" s="50" t="s">
        <v>101</v>
      </c>
      <c r="D7">
        <v>15.1</v>
      </c>
      <c r="E7">
        <v>6.3122999999999996</v>
      </c>
      <c r="F7">
        <v>6.2413999999999996</v>
      </c>
      <c r="G7">
        <f t="shared" si="0"/>
        <v>7.0899999999999963E-2</v>
      </c>
      <c r="H7" s="1">
        <v>46055</v>
      </c>
      <c r="I7" s="1">
        <v>46059</v>
      </c>
      <c r="K7" t="s">
        <v>119</v>
      </c>
    </row>
    <row r="8" spans="1:16" ht="15.95">
      <c r="A8" t="s">
        <v>117</v>
      </c>
      <c r="B8" t="s">
        <v>126</v>
      </c>
      <c r="C8" s="50" t="s">
        <v>101</v>
      </c>
      <c r="D8">
        <v>14.8</v>
      </c>
      <c r="E8">
        <v>6.3715000000000002</v>
      </c>
      <c r="F8">
        <v>6.2907000000000002</v>
      </c>
      <c r="G8">
        <f>E8-F8</f>
        <v>8.0799999999999983E-2</v>
      </c>
      <c r="H8" s="1">
        <v>46055</v>
      </c>
      <c r="I8" s="1">
        <v>46059</v>
      </c>
      <c r="K8" t="s">
        <v>119</v>
      </c>
    </row>
    <row r="9" spans="1:16" ht="15.95">
      <c r="A9" t="s">
        <v>117</v>
      </c>
      <c r="B9" t="s">
        <v>127</v>
      </c>
      <c r="C9" s="49" t="s">
        <v>98</v>
      </c>
      <c r="D9">
        <v>13.9</v>
      </c>
      <c r="E9">
        <v>6.4776999999999996</v>
      </c>
      <c r="F9">
        <v>6.41</v>
      </c>
      <c r="G9">
        <f t="shared" si="0"/>
        <v>6.7699999999999427E-2</v>
      </c>
      <c r="H9" s="1">
        <v>46055</v>
      </c>
      <c r="I9" s="1">
        <v>46059</v>
      </c>
      <c r="K9" t="s">
        <v>119</v>
      </c>
    </row>
    <row r="10" spans="1:16" ht="15.95">
      <c r="A10" t="s">
        <v>117</v>
      </c>
      <c r="B10" t="s">
        <v>128</v>
      </c>
      <c r="C10" s="50" t="s">
        <v>101</v>
      </c>
      <c r="D10">
        <v>16.7</v>
      </c>
      <c r="E10">
        <v>6.4744999999999999</v>
      </c>
      <c r="F10">
        <v>6.4097</v>
      </c>
      <c r="G10">
        <f t="shared" si="0"/>
        <v>6.4799999999999969E-2</v>
      </c>
      <c r="H10" s="1">
        <v>46055</v>
      </c>
      <c r="I10" s="1">
        <v>46059</v>
      </c>
      <c r="K10" t="s">
        <v>119</v>
      </c>
    </row>
    <row r="11" spans="1:16" ht="15.95">
      <c r="A11" t="s">
        <v>117</v>
      </c>
      <c r="B11" t="s">
        <v>129</v>
      </c>
      <c r="C11" s="49" t="s">
        <v>98</v>
      </c>
      <c r="D11">
        <v>15.8</v>
      </c>
      <c r="E11">
        <v>6.4291999999999998</v>
      </c>
      <c r="F11">
        <v>6.3581000000000003</v>
      </c>
      <c r="G11">
        <f t="shared" si="0"/>
        <v>7.1099999999999497E-2</v>
      </c>
      <c r="H11" s="1">
        <v>46055</v>
      </c>
      <c r="I11" s="1">
        <v>46059</v>
      </c>
      <c r="K11" t="s">
        <v>119</v>
      </c>
    </row>
    <row r="12" spans="1:16" ht="48">
      <c r="A12" t="s">
        <v>117</v>
      </c>
      <c r="B12" t="s">
        <v>130</v>
      </c>
      <c r="C12" s="50" t="s">
        <v>101</v>
      </c>
      <c r="D12">
        <v>17</v>
      </c>
      <c r="E12">
        <v>6.3299000000000003</v>
      </c>
      <c r="F12">
        <v>6.2314999999999996</v>
      </c>
      <c r="G12">
        <f t="shared" si="0"/>
        <v>9.8400000000000709E-2</v>
      </c>
      <c r="H12" s="1">
        <v>46056</v>
      </c>
      <c r="I12" s="1">
        <v>46059</v>
      </c>
      <c r="J12" t="s">
        <v>131</v>
      </c>
      <c r="K12" t="s">
        <v>119</v>
      </c>
    </row>
    <row r="13" spans="1:16" ht="48">
      <c r="A13" t="s">
        <v>117</v>
      </c>
      <c r="B13" t="s">
        <v>132</v>
      </c>
      <c r="C13" s="50" t="s">
        <v>101</v>
      </c>
      <c r="D13">
        <v>14.3</v>
      </c>
      <c r="E13">
        <v>6.3577000000000004</v>
      </c>
      <c r="F13">
        <v>6.2900999999999998</v>
      </c>
      <c r="G13">
        <f t="shared" si="0"/>
        <v>6.7600000000000549E-2</v>
      </c>
      <c r="H13" s="1">
        <v>46056</v>
      </c>
      <c r="I13" s="1">
        <v>46059</v>
      </c>
      <c r="J13" t="s">
        <v>133</v>
      </c>
      <c r="K13" t="s">
        <v>119</v>
      </c>
    </row>
    <row r="14" spans="1:16" ht="15.95">
      <c r="A14" t="s">
        <v>117</v>
      </c>
      <c r="B14" t="s">
        <v>134</v>
      </c>
      <c r="C14" s="49" t="s">
        <v>98</v>
      </c>
      <c r="D14">
        <v>16.100000000000001</v>
      </c>
      <c r="E14">
        <v>6.5092999999999996</v>
      </c>
      <c r="F14">
        <v>6.4508999999999999</v>
      </c>
      <c r="G14">
        <f t="shared" si="0"/>
        <v>5.8399999999999785E-2</v>
      </c>
      <c r="H14" s="1">
        <v>46056</v>
      </c>
      <c r="I14" s="1">
        <v>46059</v>
      </c>
      <c r="K14" t="s">
        <v>119</v>
      </c>
    </row>
    <row r="15" spans="1:16" ht="15.95">
      <c r="A15" t="s">
        <v>117</v>
      </c>
      <c r="B15" t="s">
        <v>135</v>
      </c>
      <c r="C15" s="49" t="s">
        <v>98</v>
      </c>
      <c r="D15">
        <v>16.899999999999999</v>
      </c>
      <c r="E15">
        <v>6.3219000000000003</v>
      </c>
      <c r="F15">
        <v>6.2625999999999999</v>
      </c>
      <c r="G15">
        <f t="shared" si="0"/>
        <v>5.9300000000000352E-2</v>
      </c>
      <c r="H15" s="1">
        <v>46056</v>
      </c>
      <c r="I15" s="1">
        <v>46059</v>
      </c>
      <c r="K15" t="s">
        <v>119</v>
      </c>
    </row>
    <row r="16" spans="1:16" ht="32.1">
      <c r="A16" t="s">
        <v>117</v>
      </c>
      <c r="B16" t="s">
        <v>136</v>
      </c>
      <c r="C16" s="49" t="s">
        <v>98</v>
      </c>
      <c r="D16">
        <v>12.4</v>
      </c>
      <c r="E16">
        <v>6.2937000000000003</v>
      </c>
      <c r="F16">
        <v>6.2666000000000004</v>
      </c>
      <c r="G16">
        <f t="shared" si="0"/>
        <v>2.7099999999999902E-2</v>
      </c>
      <c r="H16" s="1">
        <v>46056</v>
      </c>
      <c r="I16" s="1">
        <v>46059</v>
      </c>
      <c r="J16" t="s">
        <v>137</v>
      </c>
      <c r="K16" t="s">
        <v>119</v>
      </c>
      <c r="L16" t="s">
        <v>138</v>
      </c>
    </row>
    <row r="17" spans="1:11" ht="32.1">
      <c r="A17" t="s">
        <v>117</v>
      </c>
      <c r="B17" t="s">
        <v>139</v>
      </c>
      <c r="C17" s="49" t="s">
        <v>98</v>
      </c>
      <c r="D17">
        <v>15.9</v>
      </c>
      <c r="E17">
        <v>6.2683</v>
      </c>
      <c r="F17">
        <v>6.2340999999999998</v>
      </c>
      <c r="G17">
        <f t="shared" si="0"/>
        <v>3.420000000000023E-2</v>
      </c>
      <c r="H17" s="1">
        <v>46056</v>
      </c>
      <c r="I17" s="1">
        <v>46059</v>
      </c>
      <c r="J17" t="s">
        <v>140</v>
      </c>
      <c r="K17" t="s">
        <v>119</v>
      </c>
    </row>
    <row r="18" spans="1:11" ht="15.95">
      <c r="A18" t="s">
        <v>117</v>
      </c>
      <c r="B18" t="s">
        <v>141</v>
      </c>
      <c r="C18" s="50" t="s">
        <v>101</v>
      </c>
      <c r="D18">
        <v>17</v>
      </c>
      <c r="E18">
        <v>6.1840999999999999</v>
      </c>
      <c r="F18">
        <v>6.1148999999999996</v>
      </c>
      <c r="G18">
        <f t="shared" si="0"/>
        <v>6.9200000000000372E-2</v>
      </c>
      <c r="H18" s="1">
        <v>46056</v>
      </c>
      <c r="I18" s="1">
        <v>46059</v>
      </c>
      <c r="K18" t="s">
        <v>119</v>
      </c>
    </row>
    <row r="19" spans="1:11" ht="15.95">
      <c r="A19" t="s">
        <v>117</v>
      </c>
      <c r="B19" t="s">
        <v>142</v>
      </c>
      <c r="C19" s="49" t="s">
        <v>98</v>
      </c>
      <c r="D19">
        <v>16.2</v>
      </c>
      <c r="E19">
        <v>6.3521000000000001</v>
      </c>
      <c r="F19">
        <v>6.2853000000000003</v>
      </c>
      <c r="G19">
        <f t="shared" si="0"/>
        <v>6.6799999999999748E-2</v>
      </c>
      <c r="H19" s="1">
        <v>46056</v>
      </c>
      <c r="I19" s="1">
        <v>46059</v>
      </c>
      <c r="K19" t="s">
        <v>119</v>
      </c>
    </row>
    <row r="20" spans="1:11" ht="15.95">
      <c r="A20" t="s">
        <v>117</v>
      </c>
      <c r="B20" t="s">
        <v>143</v>
      </c>
      <c r="C20" s="50" t="s">
        <v>101</v>
      </c>
      <c r="D20">
        <v>14.9</v>
      </c>
      <c r="E20">
        <v>6.2643000000000004</v>
      </c>
      <c r="F20">
        <v>6.2081</v>
      </c>
      <c r="G20">
        <f t="shared" si="0"/>
        <v>5.6200000000000472E-2</v>
      </c>
      <c r="H20" s="1">
        <v>46056</v>
      </c>
      <c r="I20" s="1">
        <v>46059</v>
      </c>
      <c r="K20" t="s">
        <v>119</v>
      </c>
    </row>
    <row r="21" spans="1:11" ht="32.1">
      <c r="A21" t="s">
        <v>117</v>
      </c>
      <c r="B21" t="s">
        <v>144</v>
      </c>
      <c r="C21" s="49" t="s">
        <v>98</v>
      </c>
      <c r="D21">
        <v>17</v>
      </c>
      <c r="E21">
        <v>6.3311000000000002</v>
      </c>
      <c r="F21">
        <v>6.2789999999999999</v>
      </c>
      <c r="G21">
        <f t="shared" ref="G21:G41" si="1">E21-F21</f>
        <v>5.2100000000000257E-2</v>
      </c>
      <c r="H21" s="1">
        <v>46056</v>
      </c>
      <c r="I21" s="1">
        <v>46059</v>
      </c>
      <c r="J21" t="s">
        <v>145</v>
      </c>
      <c r="K21" t="s">
        <v>119</v>
      </c>
    </row>
    <row r="22" spans="1:11" ht="63.95">
      <c r="A22" t="s">
        <v>146</v>
      </c>
      <c r="B22" t="s">
        <v>147</v>
      </c>
      <c r="C22" s="50" t="s">
        <v>101</v>
      </c>
      <c r="D22">
        <v>14.6</v>
      </c>
      <c r="E22">
        <f>18.4603-2.05</f>
        <v>16.410299999999999</v>
      </c>
      <c r="F22">
        <v>16.366199999999999</v>
      </c>
      <c r="G22">
        <f t="shared" si="1"/>
        <v>4.410000000000025E-2</v>
      </c>
      <c r="H22" s="1">
        <v>46064</v>
      </c>
      <c r="I22" s="1">
        <v>46064</v>
      </c>
      <c r="J22" t="s">
        <v>148</v>
      </c>
      <c r="K22" t="s">
        <v>119</v>
      </c>
    </row>
    <row r="23" spans="1:11" ht="15.95">
      <c r="A23" t="s">
        <v>146</v>
      </c>
      <c r="B23" t="s">
        <v>149</v>
      </c>
      <c r="C23" s="50" t="s">
        <v>101</v>
      </c>
      <c r="D23">
        <v>14.2</v>
      </c>
      <c r="E23">
        <f>16.7166-2.1</f>
        <v>14.6166</v>
      </c>
      <c r="F23">
        <v>14.571199999999999</v>
      </c>
      <c r="G23">
        <f t="shared" si="1"/>
        <v>4.5400000000000773E-2</v>
      </c>
      <c r="H23" s="1">
        <v>46064</v>
      </c>
      <c r="I23" s="1">
        <v>46064</v>
      </c>
      <c r="J23" t="s">
        <v>150</v>
      </c>
      <c r="K23" t="s">
        <v>119</v>
      </c>
    </row>
    <row r="24" spans="1:11" ht="15.95">
      <c r="A24" t="s">
        <v>146</v>
      </c>
      <c r="B24" t="s">
        <v>151</v>
      </c>
      <c r="C24" s="50" t="s">
        <v>101</v>
      </c>
      <c r="D24">
        <v>12.1</v>
      </c>
      <c r="E24">
        <f>18.7153-2.1</f>
        <v>16.615299999999998</v>
      </c>
      <c r="F24">
        <v>16.5944</v>
      </c>
      <c r="G24">
        <f t="shared" si="1"/>
        <v>2.0899999999997476E-2</v>
      </c>
      <c r="H24" s="1">
        <v>46064</v>
      </c>
      <c r="I24" s="1">
        <v>46064</v>
      </c>
      <c r="J24" t="s">
        <v>150</v>
      </c>
      <c r="K24" t="s">
        <v>119</v>
      </c>
    </row>
    <row r="25" spans="1:11" ht="15.95">
      <c r="A25" t="s">
        <v>146</v>
      </c>
      <c r="B25" t="s">
        <v>152</v>
      </c>
      <c r="C25" s="50" t="s">
        <v>101</v>
      </c>
      <c r="D25">
        <v>16.100000000000001</v>
      </c>
      <c r="E25">
        <f>18.5491-2.1</f>
        <v>16.449099999999998</v>
      </c>
      <c r="F25">
        <v>16.395199999999999</v>
      </c>
      <c r="G25">
        <f t="shared" si="1"/>
        <v>5.3899999999998727E-2</v>
      </c>
      <c r="H25" s="1">
        <v>46064</v>
      </c>
      <c r="I25" s="1">
        <v>46064</v>
      </c>
      <c r="J25" t="s">
        <v>150</v>
      </c>
      <c r="K25" t="s">
        <v>119</v>
      </c>
    </row>
    <row r="26" spans="1:11" ht="15.95">
      <c r="A26" t="s">
        <v>146</v>
      </c>
      <c r="B26" t="s">
        <v>153</v>
      </c>
      <c r="C26" s="50" t="s">
        <v>101</v>
      </c>
      <c r="D26">
        <v>12.4</v>
      </c>
      <c r="E26">
        <f>17.7338-P2</f>
        <v>15.546999999999999</v>
      </c>
      <c r="F26">
        <v>15.535299999999999</v>
      </c>
      <c r="G26">
        <f t="shared" si="1"/>
        <v>1.1699999999999378E-2</v>
      </c>
      <c r="H26" s="1">
        <v>46064</v>
      </c>
      <c r="I26" s="1">
        <v>46064</v>
      </c>
      <c r="J26" t="s">
        <v>150</v>
      </c>
      <c r="K26" t="s">
        <v>119</v>
      </c>
    </row>
    <row r="27" spans="1:11" ht="15.95">
      <c r="A27" t="s">
        <v>146</v>
      </c>
      <c r="B27" t="s">
        <v>154</v>
      </c>
      <c r="C27" s="50" t="s">
        <v>101</v>
      </c>
      <c r="D27">
        <v>13.3</v>
      </c>
      <c r="E27">
        <v>16.453399999999998</v>
      </c>
      <c r="F27">
        <v>16.408999999999999</v>
      </c>
      <c r="G27">
        <f t="shared" si="1"/>
        <v>4.4399999999999551E-2</v>
      </c>
      <c r="H27" s="1">
        <v>46064</v>
      </c>
      <c r="I27" s="1">
        <v>46069</v>
      </c>
      <c r="K27" t="s">
        <v>119</v>
      </c>
    </row>
    <row r="28" spans="1:11" ht="15.95">
      <c r="A28" t="s">
        <v>146</v>
      </c>
      <c r="B28" t="s">
        <v>155</v>
      </c>
      <c r="C28" s="50" t="s">
        <v>101</v>
      </c>
      <c r="D28">
        <v>12</v>
      </c>
      <c r="E28">
        <v>15.0852</v>
      </c>
      <c r="F28">
        <v>15.063499999999999</v>
      </c>
      <c r="G28">
        <f t="shared" si="1"/>
        <v>2.1700000000000941E-2</v>
      </c>
      <c r="H28" s="1">
        <v>46064</v>
      </c>
      <c r="I28" s="1">
        <v>46069</v>
      </c>
      <c r="K28" t="s">
        <v>119</v>
      </c>
    </row>
    <row r="29" spans="1:11" ht="15.95">
      <c r="A29" t="s">
        <v>146</v>
      </c>
      <c r="B29" t="s">
        <v>156</v>
      </c>
      <c r="C29" s="50" t="s">
        <v>101</v>
      </c>
      <c r="D29">
        <v>12.5</v>
      </c>
      <c r="E29">
        <v>15.144299999999999</v>
      </c>
      <c r="F29">
        <v>15.1028</v>
      </c>
      <c r="G29">
        <f t="shared" si="1"/>
        <v>4.1499999999999204E-2</v>
      </c>
      <c r="H29" s="1">
        <v>46064</v>
      </c>
      <c r="I29" s="1">
        <v>46069</v>
      </c>
      <c r="K29" t="s">
        <v>119</v>
      </c>
    </row>
    <row r="30" spans="1:11" ht="15.95">
      <c r="A30" t="s">
        <v>146</v>
      </c>
      <c r="B30" t="s">
        <v>157</v>
      </c>
      <c r="C30" s="50" t="s">
        <v>101</v>
      </c>
      <c r="D30">
        <v>12.2</v>
      </c>
      <c r="E30">
        <v>15.6258</v>
      </c>
      <c r="F30">
        <v>15.5998</v>
      </c>
      <c r="G30">
        <f t="shared" si="1"/>
        <v>2.5999999999999801E-2</v>
      </c>
      <c r="H30" s="1">
        <v>46064</v>
      </c>
      <c r="I30" s="1">
        <v>46069</v>
      </c>
      <c r="K30" t="s">
        <v>119</v>
      </c>
    </row>
    <row r="31" spans="1:11" ht="15.95">
      <c r="A31" t="s">
        <v>146</v>
      </c>
      <c r="B31" t="s">
        <v>158</v>
      </c>
      <c r="C31" s="50" t="s">
        <v>101</v>
      </c>
      <c r="D31">
        <v>16.5</v>
      </c>
      <c r="E31">
        <v>15.2341</v>
      </c>
      <c r="F31">
        <v>15.1846</v>
      </c>
      <c r="G31">
        <f t="shared" si="1"/>
        <v>4.9500000000000099E-2</v>
      </c>
      <c r="H31" s="1">
        <v>46064</v>
      </c>
      <c r="I31" s="1">
        <v>46069</v>
      </c>
      <c r="K31" t="s">
        <v>119</v>
      </c>
    </row>
    <row r="32" spans="1:11" ht="15.95">
      <c r="A32" t="s">
        <v>146</v>
      </c>
      <c r="B32" t="s">
        <v>159</v>
      </c>
      <c r="C32" s="49" t="s">
        <v>98</v>
      </c>
      <c r="D32">
        <v>19.100000000000001</v>
      </c>
      <c r="E32">
        <v>16.503699999999998</v>
      </c>
      <c r="F32">
        <v>16.414000000000001</v>
      </c>
      <c r="G32">
        <f t="shared" si="1"/>
        <v>8.9699999999997004E-2</v>
      </c>
      <c r="H32" s="1">
        <v>46064</v>
      </c>
      <c r="I32" s="1">
        <v>46069</v>
      </c>
      <c r="K32" t="s">
        <v>119</v>
      </c>
    </row>
    <row r="33" spans="1:11" ht="15.95">
      <c r="A33" t="s">
        <v>146</v>
      </c>
      <c r="B33" t="s">
        <v>160</v>
      </c>
      <c r="C33" s="49" t="s">
        <v>98</v>
      </c>
      <c r="D33">
        <v>13.9</v>
      </c>
      <c r="E33">
        <v>16.578800000000001</v>
      </c>
      <c r="F33">
        <v>16.525300000000001</v>
      </c>
      <c r="G33">
        <f t="shared" si="1"/>
        <v>5.3499999999999659E-2</v>
      </c>
      <c r="H33" s="1">
        <v>46064</v>
      </c>
      <c r="I33" s="1">
        <v>46069</v>
      </c>
      <c r="K33" t="s">
        <v>119</v>
      </c>
    </row>
    <row r="34" spans="1:11" ht="15.95">
      <c r="A34" t="s">
        <v>146</v>
      </c>
      <c r="B34" t="s">
        <v>161</v>
      </c>
      <c r="C34" s="49" t="s">
        <v>98</v>
      </c>
      <c r="D34">
        <v>15</v>
      </c>
      <c r="E34">
        <v>16.3354</v>
      </c>
      <c r="F34">
        <v>16.2989</v>
      </c>
      <c r="G34">
        <f t="shared" si="1"/>
        <v>3.6500000000000199E-2</v>
      </c>
      <c r="H34" s="1">
        <v>46064</v>
      </c>
      <c r="I34" s="1">
        <v>46069</v>
      </c>
      <c r="K34" t="s">
        <v>119</v>
      </c>
    </row>
    <row r="35" spans="1:11" ht="15.95">
      <c r="A35" t="s">
        <v>146</v>
      </c>
      <c r="B35" t="s">
        <v>162</v>
      </c>
      <c r="C35" s="49" t="s">
        <v>98</v>
      </c>
      <c r="D35">
        <v>13</v>
      </c>
      <c r="E35">
        <v>15.4316</v>
      </c>
      <c r="F35">
        <v>15.3691</v>
      </c>
      <c r="G35">
        <f t="shared" si="1"/>
        <v>6.25E-2</v>
      </c>
      <c r="H35" s="1">
        <v>46064</v>
      </c>
      <c r="I35" s="1">
        <v>46069</v>
      </c>
      <c r="K35" t="s">
        <v>119</v>
      </c>
    </row>
    <row r="36" spans="1:11" ht="15.95">
      <c r="A36" t="s">
        <v>146</v>
      </c>
      <c r="B36" t="s">
        <v>163</v>
      </c>
      <c r="C36" s="49" t="s">
        <v>98</v>
      </c>
      <c r="D36">
        <v>13.1</v>
      </c>
      <c r="E36">
        <v>16.178699999999999</v>
      </c>
      <c r="F36">
        <v>16.174299999999999</v>
      </c>
      <c r="G36">
        <f t="shared" si="1"/>
        <v>4.4000000000004036E-3</v>
      </c>
      <c r="H36" s="1">
        <v>46064</v>
      </c>
      <c r="I36" s="1">
        <v>46069</v>
      </c>
      <c r="K36" t="s">
        <v>119</v>
      </c>
    </row>
    <row r="37" spans="1:11" ht="15.95">
      <c r="A37" t="s">
        <v>146</v>
      </c>
      <c r="B37" t="s">
        <v>164</v>
      </c>
      <c r="C37" s="49" t="s">
        <v>98</v>
      </c>
      <c r="D37">
        <v>14.6</v>
      </c>
      <c r="E37">
        <v>16.615500000000001</v>
      </c>
      <c r="F37">
        <v>16.578399999999998</v>
      </c>
      <c r="G37">
        <f t="shared" si="1"/>
        <v>3.7100000000002353E-2</v>
      </c>
      <c r="H37" s="1">
        <v>46064</v>
      </c>
      <c r="I37" s="1">
        <v>46069</v>
      </c>
      <c r="K37" t="s">
        <v>119</v>
      </c>
    </row>
    <row r="38" spans="1:11" ht="15.95">
      <c r="A38" t="s">
        <v>146</v>
      </c>
      <c r="B38" t="s">
        <v>165</v>
      </c>
      <c r="C38" s="49" t="s">
        <v>98</v>
      </c>
      <c r="D38">
        <v>17.5</v>
      </c>
      <c r="E38">
        <v>16.329599999999999</v>
      </c>
      <c r="F38">
        <v>16.283200000000001</v>
      </c>
      <c r="G38">
        <f t="shared" si="1"/>
        <v>4.6399999999998442E-2</v>
      </c>
      <c r="H38" s="1">
        <v>46064</v>
      </c>
      <c r="I38" s="1">
        <v>46069</v>
      </c>
      <c r="K38" t="s">
        <v>119</v>
      </c>
    </row>
    <row r="39" spans="1:11" ht="15.95">
      <c r="A39" t="s">
        <v>146</v>
      </c>
      <c r="B39" t="s">
        <v>166</v>
      </c>
      <c r="C39" s="49" t="s">
        <v>98</v>
      </c>
      <c r="D39">
        <v>13.7</v>
      </c>
      <c r="E39">
        <v>14.7614</v>
      </c>
      <c r="F39">
        <v>14.7234</v>
      </c>
      <c r="G39">
        <f t="shared" si="1"/>
        <v>3.8000000000000256E-2</v>
      </c>
      <c r="H39" s="1">
        <v>46064</v>
      </c>
      <c r="I39" s="1">
        <v>46069</v>
      </c>
      <c r="K39" t="s">
        <v>119</v>
      </c>
    </row>
    <row r="40" spans="1:11" ht="15.95">
      <c r="A40" t="s">
        <v>146</v>
      </c>
      <c r="B40" t="s">
        <v>167</v>
      </c>
      <c r="C40" s="49" t="s">
        <v>98</v>
      </c>
      <c r="D40">
        <v>12.9</v>
      </c>
      <c r="E40">
        <v>16.689599999999999</v>
      </c>
      <c r="F40">
        <v>16.672899999999998</v>
      </c>
      <c r="G40">
        <f t="shared" si="1"/>
        <v>1.6700000000000159E-2</v>
      </c>
      <c r="H40" s="1">
        <v>46064</v>
      </c>
      <c r="I40" s="1">
        <v>46069</v>
      </c>
      <c r="K40" t="s">
        <v>119</v>
      </c>
    </row>
    <row r="41" spans="1:11" ht="15.95">
      <c r="A41" t="s">
        <v>146</v>
      </c>
      <c r="B41" t="s">
        <v>168</v>
      </c>
      <c r="C41" s="49" t="s">
        <v>98</v>
      </c>
      <c r="D41">
        <v>15</v>
      </c>
      <c r="E41">
        <v>15.3893</v>
      </c>
      <c r="F41">
        <v>15.353300000000001</v>
      </c>
      <c r="G41">
        <f t="shared" si="1"/>
        <v>3.5999999999999588E-2</v>
      </c>
      <c r="H41" s="1">
        <v>46064</v>
      </c>
      <c r="I41" s="1">
        <v>46069</v>
      </c>
      <c r="K41" t="s">
        <v>119</v>
      </c>
    </row>
    <row r="42" spans="1:11" ht="15.95">
      <c r="A42" t="s">
        <v>169</v>
      </c>
      <c r="B42" t="s">
        <v>170</v>
      </c>
      <c r="C42" s="50" t="s">
        <v>101</v>
      </c>
      <c r="D42">
        <v>14.6</v>
      </c>
      <c r="E42">
        <v>6.0343</v>
      </c>
      <c r="F42">
        <v>6.0083000000000002</v>
      </c>
      <c r="G42">
        <f t="shared" ref="G42:G61" si="2">E42-F42</f>
        <v>2.5999999999999801E-2</v>
      </c>
      <c r="H42" s="1">
        <v>46072</v>
      </c>
      <c r="I42" s="1">
        <v>46075</v>
      </c>
      <c r="K42" t="s">
        <v>119</v>
      </c>
    </row>
    <row r="43" spans="1:11" ht="15.95">
      <c r="A43" t="s">
        <v>169</v>
      </c>
      <c r="B43" t="s">
        <v>171</v>
      </c>
      <c r="C43" s="50" t="s">
        <v>101</v>
      </c>
      <c r="D43">
        <v>15.8</v>
      </c>
      <c r="E43">
        <v>6.1075999999999997</v>
      </c>
      <c r="F43">
        <v>6.0579000000000001</v>
      </c>
      <c r="G43">
        <f t="shared" si="2"/>
        <v>4.9699999999999633E-2</v>
      </c>
      <c r="H43" s="1">
        <v>46072</v>
      </c>
      <c r="I43" s="1">
        <v>46075</v>
      </c>
      <c r="J43" t="s">
        <v>172</v>
      </c>
      <c r="K43" t="s">
        <v>119</v>
      </c>
    </row>
    <row r="44" spans="1:11" ht="15.95">
      <c r="A44" t="s">
        <v>169</v>
      </c>
      <c r="B44" t="s">
        <v>173</v>
      </c>
      <c r="C44" s="50" t="s">
        <v>101</v>
      </c>
      <c r="D44">
        <v>14.5</v>
      </c>
      <c r="E44">
        <v>6.2981999999999996</v>
      </c>
      <c r="F44">
        <v>6.2685000000000004</v>
      </c>
      <c r="G44">
        <f t="shared" si="2"/>
        <v>2.9699999999999172E-2</v>
      </c>
      <c r="H44" s="1">
        <v>46072</v>
      </c>
      <c r="I44" s="1">
        <v>46075</v>
      </c>
      <c r="K44" t="s">
        <v>119</v>
      </c>
    </row>
    <row r="45" spans="1:11" ht="15.95">
      <c r="A45" t="s">
        <v>169</v>
      </c>
      <c r="B45" t="s">
        <v>174</v>
      </c>
      <c r="C45" s="50" t="s">
        <v>101</v>
      </c>
      <c r="D45">
        <v>16</v>
      </c>
      <c r="E45">
        <v>6.2840999999999996</v>
      </c>
      <c r="F45">
        <v>6.2656999999999998</v>
      </c>
      <c r="G45">
        <f t="shared" si="2"/>
        <v>1.839999999999975E-2</v>
      </c>
      <c r="H45" s="1">
        <v>46072</v>
      </c>
      <c r="I45" s="1">
        <v>46075</v>
      </c>
      <c r="J45" t="s">
        <v>172</v>
      </c>
      <c r="K45" t="s">
        <v>119</v>
      </c>
    </row>
    <row r="46" spans="1:11" ht="15.95">
      <c r="A46" t="s">
        <v>169</v>
      </c>
      <c r="B46" t="s">
        <v>175</v>
      </c>
      <c r="C46" s="50" t="s">
        <v>101</v>
      </c>
      <c r="D46">
        <v>14.9</v>
      </c>
      <c r="E46">
        <v>6.2645999999999997</v>
      </c>
      <c r="F46">
        <v>6.2270000000000003</v>
      </c>
      <c r="G46">
        <f t="shared" si="2"/>
        <v>3.7599999999999412E-2</v>
      </c>
      <c r="H46" s="1">
        <v>46072</v>
      </c>
      <c r="I46" s="1">
        <v>46075</v>
      </c>
      <c r="K46" t="s">
        <v>119</v>
      </c>
    </row>
    <row r="47" spans="1:11" ht="15.95">
      <c r="A47" t="s">
        <v>169</v>
      </c>
      <c r="B47" t="s">
        <v>176</v>
      </c>
      <c r="C47" s="50" t="s">
        <v>101</v>
      </c>
      <c r="D47">
        <v>14.8</v>
      </c>
      <c r="E47">
        <v>6.2878999999999996</v>
      </c>
      <c r="F47">
        <v>6.2742000000000004</v>
      </c>
      <c r="G47">
        <f t="shared" si="2"/>
        <v>1.3699999999999157E-2</v>
      </c>
      <c r="H47" s="1">
        <v>46072</v>
      </c>
      <c r="I47" s="1">
        <v>46075</v>
      </c>
      <c r="K47" t="s">
        <v>119</v>
      </c>
    </row>
    <row r="48" spans="1:11" ht="15.95">
      <c r="A48" t="s">
        <v>169</v>
      </c>
      <c r="B48" t="s">
        <v>177</v>
      </c>
      <c r="C48" s="50" t="s">
        <v>101</v>
      </c>
      <c r="D48">
        <v>15.8</v>
      </c>
      <c r="E48">
        <v>6.31</v>
      </c>
      <c r="F48">
        <v>6.2847</v>
      </c>
      <c r="G48">
        <f t="shared" si="2"/>
        <v>2.5299999999999656E-2</v>
      </c>
      <c r="H48" s="1">
        <v>46072</v>
      </c>
      <c r="I48" s="1">
        <v>46075</v>
      </c>
      <c r="K48" t="s">
        <v>119</v>
      </c>
    </row>
    <row r="49" spans="1:11" ht="15.95">
      <c r="A49" t="s">
        <v>169</v>
      </c>
      <c r="B49" t="s">
        <v>178</v>
      </c>
      <c r="C49" s="50" t="s">
        <v>101</v>
      </c>
      <c r="D49">
        <v>13.8</v>
      </c>
      <c r="E49">
        <v>6.2720000000000002</v>
      </c>
      <c r="F49">
        <v>6.2515000000000001</v>
      </c>
      <c r="G49">
        <f t="shared" si="2"/>
        <v>2.0500000000000185E-2</v>
      </c>
      <c r="H49" s="1">
        <v>46072</v>
      </c>
      <c r="I49" s="1">
        <v>46075</v>
      </c>
      <c r="K49" t="s">
        <v>119</v>
      </c>
    </row>
    <row r="50" spans="1:11" ht="15.95">
      <c r="A50" t="s">
        <v>169</v>
      </c>
      <c r="B50" t="s">
        <v>179</v>
      </c>
      <c r="C50" s="50" t="s">
        <v>101</v>
      </c>
      <c r="D50">
        <v>16.3</v>
      </c>
      <c r="E50">
        <v>6.2176999999999998</v>
      </c>
      <c r="F50">
        <v>6.1878000000000002</v>
      </c>
      <c r="G50">
        <f t="shared" si="2"/>
        <v>2.9899999999999594E-2</v>
      </c>
      <c r="H50" s="1">
        <v>46072</v>
      </c>
      <c r="I50" s="1">
        <v>46075</v>
      </c>
      <c r="K50" t="s">
        <v>119</v>
      </c>
    </row>
    <row r="51" spans="1:11" ht="15.95">
      <c r="A51" t="s">
        <v>169</v>
      </c>
      <c r="B51" t="s">
        <v>180</v>
      </c>
      <c r="C51" s="50" t="s">
        <v>101</v>
      </c>
      <c r="D51">
        <v>17.100000000000001</v>
      </c>
      <c r="E51">
        <v>6.2869999999999999</v>
      </c>
      <c r="F51">
        <v>6.2348999999999997</v>
      </c>
      <c r="G51">
        <f t="shared" si="2"/>
        <v>5.2100000000000257E-2</v>
      </c>
      <c r="H51" s="1">
        <v>46072</v>
      </c>
      <c r="I51" s="1">
        <v>46075</v>
      </c>
      <c r="K51" t="s">
        <v>119</v>
      </c>
    </row>
    <row r="52" spans="1:11" ht="15.95">
      <c r="A52" t="s">
        <v>169</v>
      </c>
      <c r="B52" t="s">
        <v>181</v>
      </c>
      <c r="C52" s="49" t="s">
        <v>98</v>
      </c>
      <c r="D52">
        <v>16</v>
      </c>
      <c r="E52">
        <v>6.4335000000000004</v>
      </c>
      <c r="F52">
        <v>6.3996000000000004</v>
      </c>
      <c r="G52">
        <f t="shared" si="2"/>
        <v>3.3900000000000041E-2</v>
      </c>
      <c r="H52" s="1">
        <v>46072</v>
      </c>
      <c r="I52" s="1">
        <v>46075</v>
      </c>
      <c r="K52" t="s">
        <v>119</v>
      </c>
    </row>
    <row r="53" spans="1:11" ht="15.95">
      <c r="A53" t="s">
        <v>169</v>
      </c>
      <c r="B53" t="s">
        <v>182</v>
      </c>
      <c r="C53" s="49" t="s">
        <v>98</v>
      </c>
      <c r="D53">
        <v>14</v>
      </c>
      <c r="E53">
        <v>6.2378999999999998</v>
      </c>
      <c r="F53">
        <v>6.2240000000000002</v>
      </c>
      <c r="G53">
        <f t="shared" si="2"/>
        <v>1.3899999999999579E-2</v>
      </c>
      <c r="H53" s="1">
        <v>46072</v>
      </c>
      <c r="I53" s="1">
        <v>46075</v>
      </c>
      <c r="K53" t="s">
        <v>119</v>
      </c>
    </row>
    <row r="54" spans="1:11" ht="15.95">
      <c r="A54" t="s">
        <v>169</v>
      </c>
      <c r="B54" t="s">
        <v>183</v>
      </c>
      <c r="C54" s="49" t="s">
        <v>98</v>
      </c>
      <c r="D54">
        <v>18</v>
      </c>
      <c r="E54">
        <v>6.4413999999999998</v>
      </c>
      <c r="F54">
        <v>6.3960999999999997</v>
      </c>
      <c r="G54">
        <f t="shared" si="2"/>
        <v>4.5300000000000118E-2</v>
      </c>
      <c r="H54" s="1">
        <v>46072</v>
      </c>
      <c r="I54" s="1">
        <v>46075</v>
      </c>
      <c r="K54" t="s">
        <v>119</v>
      </c>
    </row>
    <row r="55" spans="1:11" ht="15.95">
      <c r="A55" t="s">
        <v>169</v>
      </c>
      <c r="B55" t="s">
        <v>184</v>
      </c>
      <c r="C55" s="49" t="s">
        <v>98</v>
      </c>
      <c r="D55">
        <v>16.5</v>
      </c>
      <c r="E55">
        <v>6.1250999999999998</v>
      </c>
      <c r="F55">
        <v>6.1041999999999996</v>
      </c>
      <c r="G55">
        <f t="shared" si="2"/>
        <v>2.0900000000000141E-2</v>
      </c>
      <c r="H55" s="1">
        <v>46072</v>
      </c>
      <c r="I55" s="1">
        <v>46075</v>
      </c>
      <c r="K55" t="s">
        <v>119</v>
      </c>
    </row>
    <row r="56" spans="1:11" ht="15.95">
      <c r="A56" t="s">
        <v>169</v>
      </c>
      <c r="B56" t="s">
        <v>185</v>
      </c>
      <c r="C56" s="49" t="s">
        <v>98</v>
      </c>
      <c r="D56">
        <v>13.1</v>
      </c>
      <c r="E56">
        <v>6.3372999999999999</v>
      </c>
      <c r="F56">
        <v>6.3198999999999996</v>
      </c>
      <c r="G56">
        <f t="shared" si="2"/>
        <v>1.7400000000000304E-2</v>
      </c>
      <c r="H56" s="1">
        <v>46072</v>
      </c>
      <c r="I56" s="1">
        <v>46075</v>
      </c>
      <c r="K56" t="s">
        <v>119</v>
      </c>
    </row>
    <row r="57" spans="1:11" ht="15.95">
      <c r="A57" t="s">
        <v>169</v>
      </c>
      <c r="B57" t="s">
        <v>186</v>
      </c>
      <c r="C57" s="49" t="s">
        <v>98</v>
      </c>
      <c r="D57">
        <v>18</v>
      </c>
      <c r="E57">
        <v>6.1228999999999996</v>
      </c>
      <c r="F57">
        <v>6.0925000000000002</v>
      </c>
      <c r="G57">
        <f t="shared" si="2"/>
        <v>3.0399999999999316E-2</v>
      </c>
      <c r="H57" s="1">
        <v>46072</v>
      </c>
      <c r="I57" s="1">
        <v>46075</v>
      </c>
      <c r="K57" t="s">
        <v>119</v>
      </c>
    </row>
    <row r="58" spans="1:11" ht="15.95">
      <c r="A58" t="s">
        <v>169</v>
      </c>
      <c r="B58" t="s">
        <v>187</v>
      </c>
      <c r="C58" s="49" t="s">
        <v>98</v>
      </c>
      <c r="D58">
        <v>14.6</v>
      </c>
      <c r="E58">
        <v>6.1619000000000002</v>
      </c>
      <c r="F58">
        <v>6.1365999999999996</v>
      </c>
      <c r="G58">
        <f t="shared" si="2"/>
        <v>2.5300000000000544E-2</v>
      </c>
      <c r="H58" s="1">
        <v>46072</v>
      </c>
      <c r="I58" s="1">
        <v>46075</v>
      </c>
      <c r="J58" t="s">
        <v>188</v>
      </c>
      <c r="K58" t="s">
        <v>119</v>
      </c>
    </row>
    <row r="59" spans="1:11" ht="15.95">
      <c r="A59" t="s">
        <v>169</v>
      </c>
      <c r="B59" t="s">
        <v>189</v>
      </c>
      <c r="C59" s="49" t="s">
        <v>98</v>
      </c>
      <c r="D59">
        <v>13.9</v>
      </c>
      <c r="E59">
        <v>6.3746</v>
      </c>
      <c r="F59">
        <v>6.3539000000000003</v>
      </c>
      <c r="G59">
        <f t="shared" si="2"/>
        <v>2.0699999999999719E-2</v>
      </c>
      <c r="H59" s="1">
        <v>46072</v>
      </c>
      <c r="I59" s="1">
        <v>46075</v>
      </c>
      <c r="K59" t="s">
        <v>119</v>
      </c>
    </row>
    <row r="60" spans="1:11" ht="15.95">
      <c r="A60" t="s">
        <v>169</v>
      </c>
      <c r="B60" t="s">
        <v>190</v>
      </c>
      <c r="C60" s="49" t="s">
        <v>98</v>
      </c>
      <c r="D60">
        <v>13.2</v>
      </c>
      <c r="E60">
        <v>6.2857000000000003</v>
      </c>
      <c r="F60">
        <v>6.2637999999999998</v>
      </c>
      <c r="G60">
        <f t="shared" si="2"/>
        <v>2.1900000000000475E-2</v>
      </c>
      <c r="H60" s="1">
        <v>46072</v>
      </c>
      <c r="I60" s="1">
        <v>46075</v>
      </c>
      <c r="K60" t="s">
        <v>119</v>
      </c>
    </row>
    <row r="61" spans="1:11" ht="15.95">
      <c r="A61" t="s">
        <v>169</v>
      </c>
      <c r="B61" t="s">
        <v>191</v>
      </c>
      <c r="C61" s="49" t="s">
        <v>98</v>
      </c>
      <c r="D61">
        <v>13</v>
      </c>
      <c r="E61">
        <v>6.2778999999999998</v>
      </c>
      <c r="F61">
        <v>6.2656999999999998</v>
      </c>
      <c r="G61">
        <f t="shared" si="2"/>
        <v>1.2199999999999989E-2</v>
      </c>
      <c r="H61" s="1">
        <v>46072</v>
      </c>
      <c r="I61" s="1">
        <v>46075</v>
      </c>
      <c r="K61" t="s">
        <v>119</v>
      </c>
    </row>
    <row r="62" spans="1:11" ht="15.95">
      <c r="A62" t="s">
        <v>192</v>
      </c>
      <c r="B62" t="s">
        <v>193</v>
      </c>
      <c r="C62" s="50" t="s">
        <v>101</v>
      </c>
      <c r="D62">
        <v>15.2</v>
      </c>
      <c r="E62">
        <v>16.1797</v>
      </c>
      <c r="F62">
        <v>16.126200000000001</v>
      </c>
      <c r="G62">
        <f t="shared" ref="G62:G83" si="3">E62-F62</f>
        <v>5.3499999999999659E-2</v>
      </c>
      <c r="H62" s="1">
        <v>46076</v>
      </c>
      <c r="I62" s="1">
        <v>46078</v>
      </c>
      <c r="J62" t="s">
        <v>194</v>
      </c>
      <c r="K62" t="s">
        <v>195</v>
      </c>
    </row>
    <row r="63" spans="1:11" ht="15.95">
      <c r="A63" t="s">
        <v>192</v>
      </c>
      <c r="B63" t="s">
        <v>196</v>
      </c>
      <c r="C63" s="50" t="s">
        <v>101</v>
      </c>
      <c r="D63">
        <v>20.8</v>
      </c>
      <c r="E63">
        <v>16.640799999999999</v>
      </c>
      <c r="F63">
        <v>16.511700000000001</v>
      </c>
      <c r="G63">
        <f t="shared" si="3"/>
        <v>0.12909999999999755</v>
      </c>
      <c r="H63" s="1">
        <v>46076</v>
      </c>
      <c r="I63" s="1">
        <v>46078</v>
      </c>
      <c r="K63" t="s">
        <v>195</v>
      </c>
    </row>
    <row r="64" spans="1:11" ht="15.95">
      <c r="A64" t="s">
        <v>192</v>
      </c>
      <c r="B64" t="s">
        <v>197</v>
      </c>
      <c r="C64" s="50" t="s">
        <v>101</v>
      </c>
      <c r="D64">
        <v>16.100000000000001</v>
      </c>
      <c r="E64">
        <v>16.360600000000002</v>
      </c>
      <c r="F64">
        <v>16.2562</v>
      </c>
      <c r="G64">
        <f t="shared" si="3"/>
        <v>0.10440000000000182</v>
      </c>
      <c r="H64" s="1">
        <v>46076</v>
      </c>
      <c r="I64" s="1">
        <v>46078</v>
      </c>
      <c r="K64" t="s">
        <v>195</v>
      </c>
    </row>
    <row r="65" spans="1:11" ht="15.95">
      <c r="A65" t="s">
        <v>192</v>
      </c>
      <c r="B65" t="s">
        <v>198</v>
      </c>
      <c r="C65" s="50" t="s">
        <v>101</v>
      </c>
      <c r="D65">
        <v>13.2</v>
      </c>
      <c r="E65">
        <v>16.341999999999999</v>
      </c>
      <c r="F65">
        <v>16.298400000000001</v>
      </c>
      <c r="G65">
        <f t="shared" si="3"/>
        <v>4.3599999999997863E-2</v>
      </c>
      <c r="H65" s="1">
        <v>46076</v>
      </c>
      <c r="I65" s="1">
        <v>46078</v>
      </c>
      <c r="K65" t="s">
        <v>195</v>
      </c>
    </row>
    <row r="66" spans="1:11" ht="15.95">
      <c r="A66" t="s">
        <v>192</v>
      </c>
      <c r="B66" t="s">
        <v>199</v>
      </c>
      <c r="C66" s="50" t="s">
        <v>101</v>
      </c>
      <c r="D66">
        <v>14.9</v>
      </c>
      <c r="E66">
        <v>15.9765</v>
      </c>
      <c r="F66">
        <v>15.9171</v>
      </c>
      <c r="G66">
        <f t="shared" si="3"/>
        <v>5.9400000000000119E-2</v>
      </c>
      <c r="H66" s="1">
        <v>46076</v>
      </c>
      <c r="I66" s="1">
        <v>46078</v>
      </c>
      <c r="K66" t="s">
        <v>195</v>
      </c>
    </row>
    <row r="67" spans="1:11" ht="15.95">
      <c r="A67" t="s">
        <v>192</v>
      </c>
      <c r="B67" t="s">
        <v>200</v>
      </c>
      <c r="C67" s="50" t="s">
        <v>101</v>
      </c>
      <c r="D67">
        <v>15.1</v>
      </c>
      <c r="E67">
        <v>16.3171</v>
      </c>
      <c r="F67">
        <v>16.287400000000002</v>
      </c>
      <c r="G67">
        <f t="shared" si="3"/>
        <v>2.9699999999998283E-2</v>
      </c>
      <c r="H67" s="1">
        <v>46076</v>
      </c>
      <c r="I67" s="1">
        <v>46078</v>
      </c>
      <c r="K67" t="s">
        <v>195</v>
      </c>
    </row>
    <row r="68" spans="1:11" ht="15.95">
      <c r="A68" t="s">
        <v>192</v>
      </c>
      <c r="B68" t="s">
        <v>201</v>
      </c>
      <c r="C68" s="50" t="s">
        <v>101</v>
      </c>
      <c r="D68">
        <v>13.7</v>
      </c>
      <c r="E68">
        <v>16.526900000000001</v>
      </c>
      <c r="F68">
        <v>16.501799999999999</v>
      </c>
      <c r="G68">
        <f t="shared" si="3"/>
        <v>2.5100000000001899E-2</v>
      </c>
      <c r="H68" s="1">
        <v>46076</v>
      </c>
      <c r="I68" s="1">
        <v>46078</v>
      </c>
      <c r="K68" t="s">
        <v>195</v>
      </c>
    </row>
    <row r="69" spans="1:11" ht="15.95">
      <c r="A69" t="s">
        <v>192</v>
      </c>
      <c r="B69" t="s">
        <v>202</v>
      </c>
      <c r="C69" s="50" t="s">
        <v>101</v>
      </c>
      <c r="D69">
        <v>16</v>
      </c>
      <c r="E69">
        <v>16.638000000000002</v>
      </c>
      <c r="F69">
        <v>16.571000000000002</v>
      </c>
      <c r="G69">
        <f t="shared" si="3"/>
        <v>6.7000000000000171E-2</v>
      </c>
      <c r="H69" s="1">
        <v>46076</v>
      </c>
      <c r="I69" s="1">
        <v>46078</v>
      </c>
      <c r="K69" t="s">
        <v>195</v>
      </c>
    </row>
    <row r="70" spans="1:11" ht="15.95">
      <c r="A70" t="s">
        <v>192</v>
      </c>
      <c r="B70" t="s">
        <v>203</v>
      </c>
      <c r="C70" s="50" t="s">
        <v>101</v>
      </c>
      <c r="D70">
        <v>12</v>
      </c>
      <c r="E70">
        <v>16.548400000000001</v>
      </c>
      <c r="F70">
        <v>16.498799999999999</v>
      </c>
      <c r="G70">
        <f t="shared" si="3"/>
        <v>4.9600000000001643E-2</v>
      </c>
      <c r="H70" s="1">
        <v>46076</v>
      </c>
      <c r="I70" s="1">
        <v>46078</v>
      </c>
      <c r="K70" t="s">
        <v>195</v>
      </c>
    </row>
    <row r="71" spans="1:11" ht="15.95">
      <c r="A71" t="s">
        <v>192</v>
      </c>
      <c r="B71" t="s">
        <v>204</v>
      </c>
      <c r="C71" s="50" t="s">
        <v>101</v>
      </c>
      <c r="D71">
        <v>14.5</v>
      </c>
      <c r="E71">
        <v>14.1593</v>
      </c>
      <c r="F71">
        <v>14.0916</v>
      </c>
      <c r="G71">
        <f t="shared" si="3"/>
        <v>6.7700000000000315E-2</v>
      </c>
      <c r="H71" s="1">
        <v>46076</v>
      </c>
      <c r="I71" s="1">
        <v>46078</v>
      </c>
      <c r="K71" t="s">
        <v>195</v>
      </c>
    </row>
    <row r="72" spans="1:11" ht="15.95">
      <c r="A72" t="s">
        <v>192</v>
      </c>
      <c r="B72" t="s">
        <v>205</v>
      </c>
      <c r="C72" s="49" t="s">
        <v>98</v>
      </c>
      <c r="D72">
        <v>13.4</v>
      </c>
      <c r="E72">
        <v>16.536799999999999</v>
      </c>
      <c r="F72">
        <v>16.484000000000002</v>
      </c>
      <c r="G72">
        <f>E72-F72</f>
        <v>5.2799999999997738E-2</v>
      </c>
      <c r="H72" s="1">
        <v>46076</v>
      </c>
      <c r="I72" s="1">
        <v>46078</v>
      </c>
      <c r="K72" t="s">
        <v>195</v>
      </c>
    </row>
    <row r="73" spans="1:11" ht="15.95">
      <c r="A73" t="s">
        <v>192</v>
      </c>
      <c r="B73" t="s">
        <v>206</v>
      </c>
      <c r="C73" s="49" t="s">
        <v>98</v>
      </c>
      <c r="D73">
        <v>13.3</v>
      </c>
      <c r="E73">
        <v>16.434699999999999</v>
      </c>
      <c r="F73">
        <v>16.3568</v>
      </c>
      <c r="G73">
        <f>E73-F73</f>
        <v>7.7899999999999636E-2</v>
      </c>
      <c r="H73" s="1">
        <v>46076</v>
      </c>
      <c r="I73" s="1">
        <v>46078</v>
      </c>
      <c r="K73" t="s">
        <v>195</v>
      </c>
    </row>
    <row r="74" spans="1:11" ht="15.95">
      <c r="A74" t="s">
        <v>192</v>
      </c>
      <c r="B74" t="s">
        <v>207</v>
      </c>
      <c r="C74" s="49" t="s">
        <v>98</v>
      </c>
      <c r="D74">
        <v>13</v>
      </c>
      <c r="E74">
        <v>16.254899999999999</v>
      </c>
      <c r="F74">
        <v>16.2211</v>
      </c>
      <c r="G74">
        <f t="shared" si="3"/>
        <v>3.3799999999999386E-2</v>
      </c>
      <c r="H74" s="1">
        <v>46076</v>
      </c>
      <c r="I74" s="1">
        <v>46078</v>
      </c>
      <c r="K74" t="s">
        <v>195</v>
      </c>
    </row>
    <row r="75" spans="1:11" ht="15.95">
      <c r="A75" t="s">
        <v>192</v>
      </c>
      <c r="B75" t="s">
        <v>208</v>
      </c>
      <c r="C75" s="49" t="s">
        <v>98</v>
      </c>
      <c r="D75">
        <v>10.9</v>
      </c>
      <c r="E75">
        <v>16.471399999999999</v>
      </c>
      <c r="F75">
        <v>16.430199999999999</v>
      </c>
      <c r="G75">
        <f t="shared" si="3"/>
        <v>4.1199999999999903E-2</v>
      </c>
      <c r="H75" s="1">
        <v>46076</v>
      </c>
      <c r="I75" s="1">
        <v>46078</v>
      </c>
      <c r="K75" t="s">
        <v>195</v>
      </c>
    </row>
    <row r="76" spans="1:11" ht="15.95">
      <c r="A76" t="s">
        <v>192</v>
      </c>
      <c r="B76" t="s">
        <v>209</v>
      </c>
      <c r="C76" s="49" t="s">
        <v>98</v>
      </c>
      <c r="D76">
        <v>11.1</v>
      </c>
      <c r="E76">
        <v>17.048999999999999</v>
      </c>
      <c r="F76">
        <v>17.0075</v>
      </c>
      <c r="G76">
        <f t="shared" si="3"/>
        <v>4.1499999999999204E-2</v>
      </c>
      <c r="H76" s="1">
        <v>46076</v>
      </c>
      <c r="I76" s="1">
        <v>46078</v>
      </c>
      <c r="K76" t="s">
        <v>195</v>
      </c>
    </row>
    <row r="77" spans="1:11" ht="15.95">
      <c r="A77" t="s">
        <v>192</v>
      </c>
      <c r="B77" t="s">
        <v>210</v>
      </c>
      <c r="C77" s="49" t="s">
        <v>98</v>
      </c>
      <c r="D77">
        <v>13.7</v>
      </c>
      <c r="E77">
        <v>16.3385</v>
      </c>
      <c r="F77">
        <v>16.292100000000001</v>
      </c>
      <c r="G77">
        <f t="shared" si="3"/>
        <v>4.6399999999998442E-2</v>
      </c>
      <c r="H77" s="1">
        <v>46076</v>
      </c>
      <c r="I77" s="1">
        <v>46078</v>
      </c>
      <c r="K77" t="s">
        <v>195</v>
      </c>
    </row>
    <row r="78" spans="1:11" ht="15.95">
      <c r="A78" t="s">
        <v>192</v>
      </c>
      <c r="B78" t="s">
        <v>211</v>
      </c>
      <c r="C78" s="49" t="s">
        <v>98</v>
      </c>
      <c r="D78">
        <v>11.2</v>
      </c>
      <c r="E78">
        <v>14.304399999999999</v>
      </c>
      <c r="F78">
        <v>14.2682</v>
      </c>
      <c r="G78">
        <f t="shared" si="3"/>
        <v>3.6199999999999122E-2</v>
      </c>
      <c r="H78" s="1">
        <v>46076</v>
      </c>
      <c r="I78" s="1">
        <v>46078</v>
      </c>
      <c r="K78" t="s">
        <v>195</v>
      </c>
    </row>
    <row r="79" spans="1:11" ht="15.95">
      <c r="A79" t="s">
        <v>192</v>
      </c>
      <c r="B79" t="s">
        <v>212</v>
      </c>
      <c r="C79" s="49" t="s">
        <v>98</v>
      </c>
      <c r="D79">
        <v>12</v>
      </c>
      <c r="E79">
        <v>14.460800000000001</v>
      </c>
      <c r="F79">
        <v>14.402200000000001</v>
      </c>
      <c r="G79">
        <f t="shared" si="3"/>
        <v>5.8600000000000207E-2</v>
      </c>
      <c r="H79" s="1">
        <v>46076</v>
      </c>
      <c r="I79" s="1">
        <v>46078</v>
      </c>
      <c r="K79" t="s">
        <v>195</v>
      </c>
    </row>
    <row r="80" spans="1:11" ht="15.95">
      <c r="A80" t="s">
        <v>192</v>
      </c>
      <c r="B80" t="s">
        <v>213</v>
      </c>
      <c r="C80" s="49" t="s">
        <v>98</v>
      </c>
      <c r="D80">
        <v>11.1</v>
      </c>
      <c r="E80">
        <v>15.4842</v>
      </c>
      <c r="F80">
        <v>15.4528</v>
      </c>
      <c r="G80">
        <f t="shared" si="3"/>
        <v>3.139999999999965E-2</v>
      </c>
      <c r="H80" s="1">
        <v>46076</v>
      </c>
      <c r="I80" s="1">
        <v>46078</v>
      </c>
      <c r="K80" t="s">
        <v>195</v>
      </c>
    </row>
    <row r="81" spans="1:11" ht="15.95">
      <c r="A81" t="s">
        <v>192</v>
      </c>
      <c r="B81" t="s">
        <v>214</v>
      </c>
      <c r="C81" s="49" t="s">
        <v>98</v>
      </c>
      <c r="D81">
        <v>13.1</v>
      </c>
      <c r="E81">
        <v>15.505100000000001</v>
      </c>
      <c r="F81">
        <v>15.4506</v>
      </c>
      <c r="G81">
        <f t="shared" si="3"/>
        <v>5.4500000000000881E-2</v>
      </c>
      <c r="H81" s="1">
        <v>46076</v>
      </c>
      <c r="I81" s="1">
        <v>46078</v>
      </c>
      <c r="K81" t="s">
        <v>195</v>
      </c>
    </row>
    <row r="82" spans="1:11" ht="15.95">
      <c r="A82" t="s">
        <v>215</v>
      </c>
      <c r="B82" t="s">
        <v>216</v>
      </c>
      <c r="C82" s="50" t="s">
        <v>101</v>
      </c>
      <c r="D82">
        <v>17.899999999999999</v>
      </c>
      <c r="E82">
        <v>15.7601</v>
      </c>
      <c r="F82">
        <v>15.704599999999999</v>
      </c>
      <c r="G82">
        <f t="shared" si="3"/>
        <v>5.5500000000000327E-2</v>
      </c>
      <c r="H82" s="1">
        <v>46076</v>
      </c>
      <c r="I82" s="1">
        <v>46078</v>
      </c>
      <c r="K82" t="s">
        <v>195</v>
      </c>
    </row>
    <row r="83" spans="1:11" ht="15.95">
      <c r="A83" t="s">
        <v>215</v>
      </c>
      <c r="B83" t="s">
        <v>217</v>
      </c>
      <c r="C83" s="50" t="s">
        <v>101</v>
      </c>
      <c r="D83">
        <v>13.3</v>
      </c>
      <c r="E83">
        <v>15.939500000000001</v>
      </c>
      <c r="F83">
        <v>15.9101</v>
      </c>
      <c r="G83">
        <f t="shared" si="3"/>
        <v>2.9400000000000759E-2</v>
      </c>
      <c r="H83" s="1">
        <v>46076</v>
      </c>
      <c r="I83" s="1">
        <v>46078</v>
      </c>
      <c r="K83" t="s">
        <v>195</v>
      </c>
    </row>
    <row r="84" spans="1:11" ht="15.95">
      <c r="A84" t="s">
        <v>215</v>
      </c>
      <c r="B84" t="s">
        <v>218</v>
      </c>
      <c r="C84" s="50" t="s">
        <v>101</v>
      </c>
      <c r="D84">
        <v>15.2</v>
      </c>
      <c r="E84">
        <v>15.0291</v>
      </c>
      <c r="F84">
        <v>14.96</v>
      </c>
      <c r="G84">
        <f>E84-F84</f>
        <v>6.9099999999998829E-2</v>
      </c>
      <c r="H84" s="1">
        <v>46076</v>
      </c>
      <c r="I84" s="1">
        <v>46078</v>
      </c>
      <c r="K84" t="s">
        <v>195</v>
      </c>
    </row>
    <row r="85" spans="1:11" ht="15.95">
      <c r="A85" t="s">
        <v>215</v>
      </c>
      <c r="B85" t="s">
        <v>219</v>
      </c>
      <c r="C85" s="50" t="s">
        <v>101</v>
      </c>
      <c r="D85">
        <v>16.899999999999999</v>
      </c>
      <c r="E85">
        <v>15.1029</v>
      </c>
      <c r="F85">
        <v>15.012</v>
      </c>
      <c r="G85">
        <f>E85-F85</f>
        <v>9.0899999999999537E-2</v>
      </c>
      <c r="H85" s="1">
        <v>46076</v>
      </c>
      <c r="I85" s="1">
        <v>46078</v>
      </c>
      <c r="K85" t="s">
        <v>195</v>
      </c>
    </row>
    <row r="86" spans="1:11" ht="15.95">
      <c r="A86" t="s">
        <v>215</v>
      </c>
      <c r="B86" t="s">
        <v>220</v>
      </c>
      <c r="C86" s="50" t="s">
        <v>101</v>
      </c>
      <c r="D86">
        <v>13</v>
      </c>
      <c r="E86">
        <v>14.3195</v>
      </c>
      <c r="F86">
        <v>14.2804</v>
      </c>
      <c r="G86">
        <f t="shared" ref="G86:G116" si="4">E86-F86</f>
        <v>3.9099999999999469E-2</v>
      </c>
      <c r="H86" s="1">
        <v>46076</v>
      </c>
      <c r="I86" s="1">
        <v>46078</v>
      </c>
      <c r="K86" t="s">
        <v>195</v>
      </c>
    </row>
    <row r="87" spans="1:11" ht="15.95">
      <c r="A87" t="s">
        <v>215</v>
      </c>
      <c r="B87" t="s">
        <v>221</v>
      </c>
      <c r="C87" s="50" t="s">
        <v>101</v>
      </c>
      <c r="D87">
        <v>13.6</v>
      </c>
      <c r="E87">
        <v>14.961399999999999</v>
      </c>
      <c r="F87">
        <v>14.910500000000001</v>
      </c>
      <c r="G87">
        <f t="shared" si="4"/>
        <v>5.0899999999998613E-2</v>
      </c>
      <c r="H87" s="1">
        <v>46076</v>
      </c>
      <c r="I87" s="1">
        <v>46078</v>
      </c>
      <c r="K87" t="s">
        <v>195</v>
      </c>
    </row>
    <row r="88" spans="1:11" ht="15.95">
      <c r="A88" t="s">
        <v>215</v>
      </c>
      <c r="B88" t="s">
        <v>222</v>
      </c>
      <c r="C88" s="50" t="s">
        <v>101</v>
      </c>
      <c r="D88">
        <v>15.9</v>
      </c>
      <c r="E88">
        <v>14.740500000000001</v>
      </c>
      <c r="F88">
        <v>14.682600000000001</v>
      </c>
      <c r="G88">
        <f t="shared" si="4"/>
        <v>5.7900000000000063E-2</v>
      </c>
      <c r="H88" s="1">
        <v>46076</v>
      </c>
      <c r="I88" s="1">
        <v>46078</v>
      </c>
      <c r="K88" t="s">
        <v>195</v>
      </c>
    </row>
    <row r="89" spans="1:11" ht="15.95">
      <c r="A89" t="s">
        <v>215</v>
      </c>
      <c r="B89" t="s">
        <v>223</v>
      </c>
      <c r="C89" s="50" t="s">
        <v>101</v>
      </c>
      <c r="D89">
        <v>14.9</v>
      </c>
      <c r="E89">
        <v>16.120699999999999</v>
      </c>
      <c r="F89">
        <v>16.034800000000001</v>
      </c>
      <c r="G89">
        <f t="shared" si="4"/>
        <v>8.5899999999998755E-2</v>
      </c>
      <c r="H89" s="1">
        <v>46076</v>
      </c>
      <c r="I89" s="1">
        <v>46078</v>
      </c>
      <c r="K89" t="s">
        <v>195</v>
      </c>
    </row>
    <row r="90" spans="1:11" ht="15.95">
      <c r="A90" t="s">
        <v>215</v>
      </c>
      <c r="B90" t="s">
        <v>224</v>
      </c>
      <c r="C90" s="50" t="s">
        <v>101</v>
      </c>
      <c r="D90">
        <v>11.8</v>
      </c>
      <c r="E90">
        <v>14.746499999999999</v>
      </c>
      <c r="F90">
        <v>14.709899999999999</v>
      </c>
      <c r="G90">
        <f t="shared" si="4"/>
        <v>3.6599999999999966E-2</v>
      </c>
      <c r="H90" s="1">
        <v>46076</v>
      </c>
      <c r="I90" s="1">
        <v>46078</v>
      </c>
      <c r="K90" t="s">
        <v>195</v>
      </c>
    </row>
    <row r="91" spans="1:11" ht="15.95">
      <c r="A91" t="s">
        <v>215</v>
      </c>
      <c r="B91" t="s">
        <v>225</v>
      </c>
      <c r="C91" s="50" t="s">
        <v>101</v>
      </c>
      <c r="D91">
        <v>15.1</v>
      </c>
      <c r="E91">
        <v>16.314</v>
      </c>
      <c r="F91">
        <v>16.278099999999998</v>
      </c>
      <c r="G91">
        <f t="shared" si="4"/>
        <v>3.5900000000001597E-2</v>
      </c>
      <c r="H91" s="1">
        <v>46076</v>
      </c>
      <c r="I91" s="1">
        <v>46078</v>
      </c>
      <c r="K91" t="s">
        <v>195</v>
      </c>
    </row>
    <row r="92" spans="1:11" ht="15.95">
      <c r="A92" t="s">
        <v>215</v>
      </c>
      <c r="B92" t="s">
        <v>226</v>
      </c>
      <c r="C92" s="49" t="s">
        <v>98</v>
      </c>
      <c r="D92">
        <v>12</v>
      </c>
      <c r="E92">
        <v>16.076599999999999</v>
      </c>
      <c r="F92">
        <v>16.0623</v>
      </c>
      <c r="G92">
        <f t="shared" si="4"/>
        <v>1.4299999999998647E-2</v>
      </c>
      <c r="H92" s="1">
        <v>46076</v>
      </c>
      <c r="I92" s="1">
        <v>46078</v>
      </c>
      <c r="K92" t="s">
        <v>195</v>
      </c>
    </row>
    <row r="93" spans="1:11" ht="15.95">
      <c r="A93" t="s">
        <v>215</v>
      </c>
      <c r="B93" t="s">
        <v>227</v>
      </c>
      <c r="C93" s="49" t="s">
        <v>98</v>
      </c>
      <c r="D93">
        <v>12</v>
      </c>
      <c r="E93">
        <v>6.4661999999999997</v>
      </c>
      <c r="F93">
        <v>6.4570999999999996</v>
      </c>
      <c r="G93">
        <f t="shared" si="4"/>
        <v>9.100000000000108E-3</v>
      </c>
      <c r="H93" s="1">
        <v>46076</v>
      </c>
      <c r="I93" s="1">
        <v>46078</v>
      </c>
      <c r="J93" t="s">
        <v>228</v>
      </c>
      <c r="K93" t="s">
        <v>195</v>
      </c>
    </row>
    <row r="94" spans="1:11" ht="15.95">
      <c r="A94" t="s">
        <v>215</v>
      </c>
      <c r="B94" t="s">
        <v>229</v>
      </c>
      <c r="C94" s="49" t="s">
        <v>98</v>
      </c>
      <c r="D94">
        <v>14.3</v>
      </c>
      <c r="E94">
        <v>6.4709000000000003</v>
      </c>
      <c r="F94">
        <v>6.4512999999999998</v>
      </c>
      <c r="G94">
        <f t="shared" si="4"/>
        <v>1.9600000000000506E-2</v>
      </c>
      <c r="H94" s="1">
        <v>46076</v>
      </c>
      <c r="I94" s="1">
        <v>46078</v>
      </c>
      <c r="K94" t="s">
        <v>195</v>
      </c>
    </row>
    <row r="95" spans="1:11" ht="15.95">
      <c r="A95" t="s">
        <v>215</v>
      </c>
      <c r="B95" t="s">
        <v>230</v>
      </c>
      <c r="C95" s="49" t="s">
        <v>98</v>
      </c>
      <c r="D95">
        <v>15.3</v>
      </c>
      <c r="E95">
        <v>6.2070999999999996</v>
      </c>
      <c r="F95">
        <v>6.1942000000000004</v>
      </c>
      <c r="G95">
        <f t="shared" si="4"/>
        <v>1.2899999999999245E-2</v>
      </c>
      <c r="H95" s="1">
        <v>46076</v>
      </c>
      <c r="I95" s="1">
        <v>46078</v>
      </c>
      <c r="K95" t="s">
        <v>195</v>
      </c>
    </row>
    <row r="96" spans="1:11" ht="15.95">
      <c r="A96" t="s">
        <v>215</v>
      </c>
      <c r="B96" t="s">
        <v>231</v>
      </c>
      <c r="C96" s="49" t="s">
        <v>98</v>
      </c>
      <c r="D96">
        <v>13</v>
      </c>
      <c r="E96">
        <v>6.25</v>
      </c>
      <c r="F96">
        <v>6.2431999999999999</v>
      </c>
      <c r="G96">
        <f t="shared" si="4"/>
        <v>6.8000000000001393E-3</v>
      </c>
      <c r="H96" s="1">
        <v>46076</v>
      </c>
      <c r="I96" s="1">
        <v>46078</v>
      </c>
      <c r="K96" t="s">
        <v>195</v>
      </c>
    </row>
    <row r="97" spans="1:11" ht="15.95">
      <c r="A97" t="s">
        <v>215</v>
      </c>
      <c r="B97" t="s">
        <v>232</v>
      </c>
      <c r="C97" s="49" t="s">
        <v>98</v>
      </c>
      <c r="D97">
        <v>14.9</v>
      </c>
      <c r="E97">
        <v>6.2840999999999996</v>
      </c>
      <c r="F97">
        <v>6.2621000000000002</v>
      </c>
      <c r="G97">
        <f t="shared" si="4"/>
        <v>2.1999999999999353E-2</v>
      </c>
      <c r="H97" s="1">
        <v>46076</v>
      </c>
      <c r="I97" s="1">
        <v>46078</v>
      </c>
      <c r="K97" t="s">
        <v>195</v>
      </c>
    </row>
    <row r="98" spans="1:11" ht="15.95">
      <c r="A98" t="s">
        <v>215</v>
      </c>
      <c r="B98" t="s">
        <v>233</v>
      </c>
      <c r="C98" s="49" t="s">
        <v>98</v>
      </c>
      <c r="D98">
        <v>15.1</v>
      </c>
      <c r="E98">
        <v>6.3537999999999997</v>
      </c>
      <c r="F98">
        <v>6.3423999999999996</v>
      </c>
      <c r="G98">
        <f t="shared" si="4"/>
        <v>1.1400000000000077E-2</v>
      </c>
      <c r="H98" s="1">
        <v>46076</v>
      </c>
      <c r="I98" s="1">
        <v>46078</v>
      </c>
      <c r="K98" t="s">
        <v>195</v>
      </c>
    </row>
    <row r="99" spans="1:11" ht="15.95">
      <c r="A99" t="s">
        <v>215</v>
      </c>
      <c r="B99" t="s">
        <v>234</v>
      </c>
      <c r="C99" s="49" t="s">
        <v>98</v>
      </c>
      <c r="D99">
        <v>13.8</v>
      </c>
      <c r="E99">
        <v>5.9715999999999996</v>
      </c>
      <c r="F99">
        <v>5.9631999999999996</v>
      </c>
      <c r="G99">
        <f t="shared" si="4"/>
        <v>8.3999999999999631E-3</v>
      </c>
      <c r="H99" s="1">
        <v>46076</v>
      </c>
      <c r="I99" s="1">
        <v>46078</v>
      </c>
      <c r="K99" t="s">
        <v>195</v>
      </c>
    </row>
    <row r="100" spans="1:11" ht="15.95">
      <c r="A100" t="s">
        <v>215</v>
      </c>
      <c r="B100" t="s">
        <v>235</v>
      </c>
      <c r="C100" s="49" t="s">
        <v>98</v>
      </c>
      <c r="D100">
        <v>13</v>
      </c>
      <c r="E100">
        <v>6.3716999999999997</v>
      </c>
      <c r="F100">
        <v>6.3605999999999998</v>
      </c>
      <c r="G100">
        <f t="shared" si="4"/>
        <v>1.1099999999999888E-2</v>
      </c>
      <c r="H100" s="1">
        <v>46076</v>
      </c>
      <c r="I100" s="1">
        <v>46078</v>
      </c>
      <c r="K100" t="s">
        <v>195</v>
      </c>
    </row>
    <row r="101" spans="1:11" ht="15.95">
      <c r="A101" t="s">
        <v>215</v>
      </c>
      <c r="B101" t="s">
        <v>236</v>
      </c>
      <c r="C101" s="49" t="s">
        <v>98</v>
      </c>
      <c r="D101">
        <v>14</v>
      </c>
      <c r="E101">
        <v>6.1649000000000003</v>
      </c>
      <c r="F101">
        <v>6.1573000000000002</v>
      </c>
      <c r="G101">
        <f t="shared" si="4"/>
        <v>7.6000000000000512E-3</v>
      </c>
      <c r="H101" s="1">
        <v>46076</v>
      </c>
      <c r="I101" s="1">
        <v>46078</v>
      </c>
      <c r="K101" t="s">
        <v>195</v>
      </c>
    </row>
    <row r="102" spans="1:11" ht="15.95">
      <c r="A102" t="s">
        <v>237</v>
      </c>
      <c r="B102" t="s">
        <v>238</v>
      </c>
      <c r="C102" s="50" t="s">
        <v>101</v>
      </c>
      <c r="D102">
        <v>14.1</v>
      </c>
      <c r="E102">
        <v>15.4315</v>
      </c>
      <c r="F102">
        <v>15.415100000000001</v>
      </c>
      <c r="G102">
        <f t="shared" si="4"/>
        <v>1.6399999999999082E-2</v>
      </c>
      <c r="H102" s="1">
        <v>46078</v>
      </c>
      <c r="I102" s="1">
        <v>46080</v>
      </c>
      <c r="J102" t="s">
        <v>239</v>
      </c>
      <c r="K102" t="s">
        <v>195</v>
      </c>
    </row>
    <row r="103" spans="1:11" ht="15.95">
      <c r="A103" t="s">
        <v>237</v>
      </c>
      <c r="B103" t="s">
        <v>240</v>
      </c>
      <c r="C103" s="50" t="s">
        <v>101</v>
      </c>
      <c r="D103">
        <v>14.3</v>
      </c>
      <c r="E103">
        <v>15.2011</v>
      </c>
      <c r="F103">
        <v>15.1846</v>
      </c>
      <c r="G103">
        <f t="shared" si="4"/>
        <v>1.6500000000000625E-2</v>
      </c>
      <c r="H103" s="1">
        <v>46078</v>
      </c>
      <c r="I103" s="1">
        <v>46080</v>
      </c>
      <c r="K103" t="s">
        <v>195</v>
      </c>
    </row>
    <row r="104" spans="1:11" ht="15.95">
      <c r="A104" t="s">
        <v>237</v>
      </c>
      <c r="B104" t="s">
        <v>241</v>
      </c>
      <c r="C104" s="50" t="s">
        <v>101</v>
      </c>
      <c r="D104">
        <v>14.5</v>
      </c>
      <c r="E104">
        <v>15.4641</v>
      </c>
      <c r="F104">
        <v>15.431699999999999</v>
      </c>
      <c r="G104">
        <f t="shared" si="4"/>
        <v>3.2400000000000873E-2</v>
      </c>
      <c r="H104" s="1">
        <v>46078</v>
      </c>
      <c r="I104" s="1">
        <v>46080</v>
      </c>
      <c r="K104" t="s">
        <v>195</v>
      </c>
    </row>
    <row r="105" spans="1:11" ht="15.95">
      <c r="A105" t="s">
        <v>237</v>
      </c>
      <c r="B105" t="s">
        <v>242</v>
      </c>
      <c r="C105" s="50" t="s">
        <v>101</v>
      </c>
      <c r="D105">
        <v>15.5</v>
      </c>
      <c r="E105">
        <v>14.795</v>
      </c>
      <c r="F105">
        <v>14.7348</v>
      </c>
      <c r="G105">
        <f t="shared" si="4"/>
        <v>6.0200000000000031E-2</v>
      </c>
      <c r="H105" s="51">
        <v>46078</v>
      </c>
      <c r="I105" s="1">
        <v>46080</v>
      </c>
      <c r="K105" t="s">
        <v>195</v>
      </c>
    </row>
    <row r="106" spans="1:11" ht="15.95">
      <c r="A106" t="s">
        <v>237</v>
      </c>
      <c r="B106" t="s">
        <v>243</v>
      </c>
      <c r="C106" s="50" t="s">
        <v>101</v>
      </c>
      <c r="D106">
        <v>13.9</v>
      </c>
      <c r="E106">
        <v>16.317799999999998</v>
      </c>
      <c r="F106">
        <v>16.269600000000001</v>
      </c>
      <c r="G106">
        <f t="shared" si="4"/>
        <v>4.81999999999978E-2</v>
      </c>
      <c r="H106" s="51">
        <v>46078</v>
      </c>
      <c r="I106" s="1">
        <v>46080</v>
      </c>
      <c r="K106" t="s">
        <v>195</v>
      </c>
    </row>
    <row r="107" spans="1:11" ht="15.95">
      <c r="A107" t="s">
        <v>237</v>
      </c>
      <c r="B107" t="s">
        <v>244</v>
      </c>
      <c r="C107" s="50" t="s">
        <v>101</v>
      </c>
      <c r="D107">
        <v>11.3</v>
      </c>
      <c r="E107">
        <v>16.4193</v>
      </c>
      <c r="F107">
        <v>16.399100000000001</v>
      </c>
      <c r="G107">
        <f t="shared" si="4"/>
        <v>2.0199999999999108E-2</v>
      </c>
      <c r="H107" s="51">
        <v>46078</v>
      </c>
      <c r="I107" s="1">
        <v>46080</v>
      </c>
      <c r="K107" t="s">
        <v>195</v>
      </c>
    </row>
    <row r="108" spans="1:11" ht="15.95">
      <c r="A108" t="s">
        <v>237</v>
      </c>
      <c r="B108" t="s">
        <v>245</v>
      </c>
      <c r="C108" s="50" t="s">
        <v>101</v>
      </c>
      <c r="D108">
        <v>12.7</v>
      </c>
      <c r="E108">
        <v>16.0823</v>
      </c>
      <c r="F108">
        <v>16.057700000000001</v>
      </c>
      <c r="G108">
        <f t="shared" si="4"/>
        <v>2.4599999999999511E-2</v>
      </c>
      <c r="H108" s="51">
        <v>46078</v>
      </c>
      <c r="I108" s="1">
        <v>46080</v>
      </c>
      <c r="K108" t="s">
        <v>195</v>
      </c>
    </row>
    <row r="109" spans="1:11" ht="15.95">
      <c r="A109" t="s">
        <v>237</v>
      </c>
      <c r="B109" t="s">
        <v>246</v>
      </c>
      <c r="C109" s="50" t="s">
        <v>101</v>
      </c>
      <c r="D109">
        <v>14</v>
      </c>
      <c r="E109">
        <v>14.8689</v>
      </c>
      <c r="F109">
        <v>14.8362</v>
      </c>
      <c r="G109">
        <f t="shared" si="4"/>
        <v>3.2700000000000173E-2</v>
      </c>
      <c r="H109" s="51">
        <v>46078</v>
      </c>
      <c r="I109" s="1">
        <v>46080</v>
      </c>
      <c r="K109" t="s">
        <v>195</v>
      </c>
    </row>
    <row r="110" spans="1:11" ht="15.95">
      <c r="A110" t="s">
        <v>237</v>
      </c>
      <c r="B110" t="s">
        <v>247</v>
      </c>
      <c r="C110" s="50" t="s">
        <v>101</v>
      </c>
      <c r="D110">
        <v>11</v>
      </c>
      <c r="E110">
        <v>16.1343</v>
      </c>
      <c r="F110">
        <v>16.119700000000002</v>
      </c>
      <c r="G110">
        <f t="shared" si="4"/>
        <v>1.4599999999997948E-2</v>
      </c>
      <c r="H110" s="51">
        <v>46078</v>
      </c>
      <c r="I110" s="1">
        <v>46080</v>
      </c>
      <c r="K110" t="s">
        <v>195</v>
      </c>
    </row>
    <row r="111" spans="1:11" ht="15.95">
      <c r="A111" t="s">
        <v>237</v>
      </c>
      <c r="B111" t="s">
        <v>248</v>
      </c>
      <c r="C111" s="50" t="s">
        <v>101</v>
      </c>
      <c r="D111">
        <v>12.1</v>
      </c>
      <c r="E111">
        <v>14.4595</v>
      </c>
      <c r="F111">
        <v>14.434900000000001</v>
      </c>
      <c r="G111">
        <f t="shared" si="4"/>
        <v>2.4599999999999511E-2</v>
      </c>
      <c r="H111" s="51">
        <v>46078</v>
      </c>
      <c r="I111" s="1">
        <v>46080</v>
      </c>
      <c r="K111" t="s">
        <v>195</v>
      </c>
    </row>
    <row r="112" spans="1:11" ht="15.95">
      <c r="A112" t="s">
        <v>237</v>
      </c>
      <c r="B112" t="s">
        <v>249</v>
      </c>
      <c r="C112" s="49" t="s">
        <v>98</v>
      </c>
      <c r="D112">
        <v>10.1</v>
      </c>
      <c r="E112">
        <v>14.8414</v>
      </c>
      <c r="F112">
        <v>14.8255</v>
      </c>
      <c r="G112">
        <f t="shared" si="4"/>
        <v>1.5900000000000247E-2</v>
      </c>
      <c r="H112" s="51">
        <v>46078</v>
      </c>
      <c r="I112" s="1">
        <v>46080</v>
      </c>
      <c r="K112" t="s">
        <v>195</v>
      </c>
    </row>
    <row r="113" spans="1:11" ht="15.95">
      <c r="A113" t="s">
        <v>237</v>
      </c>
      <c r="B113" t="s">
        <v>250</v>
      </c>
      <c r="C113" s="49" t="s">
        <v>98</v>
      </c>
      <c r="D113">
        <v>10.199999999999999</v>
      </c>
      <c r="E113">
        <v>16.254999999999999</v>
      </c>
      <c r="F113">
        <v>16.237300000000001</v>
      </c>
      <c r="G113">
        <f t="shared" si="4"/>
        <v>1.7699999999997829E-2</v>
      </c>
      <c r="H113" s="51">
        <v>46078</v>
      </c>
      <c r="I113" s="1">
        <v>46080</v>
      </c>
      <c r="K113" t="s">
        <v>195</v>
      </c>
    </row>
    <row r="114" spans="1:11" ht="15.95">
      <c r="A114" t="s">
        <v>237</v>
      </c>
      <c r="B114" t="s">
        <v>251</v>
      </c>
      <c r="C114" s="49" t="s">
        <v>98</v>
      </c>
      <c r="D114">
        <v>10.4</v>
      </c>
      <c r="E114">
        <v>15.367599999999999</v>
      </c>
      <c r="F114">
        <v>15.357799999999999</v>
      </c>
      <c r="G114">
        <f t="shared" si="4"/>
        <v>9.800000000000253E-3</v>
      </c>
      <c r="H114" s="51">
        <v>46078</v>
      </c>
      <c r="I114" s="1">
        <v>46080</v>
      </c>
      <c r="K114" t="s">
        <v>195</v>
      </c>
    </row>
    <row r="115" spans="1:11" ht="15.95">
      <c r="A115" t="s">
        <v>237</v>
      </c>
      <c r="B115" t="s">
        <v>252</v>
      </c>
      <c r="C115" s="49" t="s">
        <v>98</v>
      </c>
      <c r="D115">
        <v>13</v>
      </c>
      <c r="E115">
        <v>16.2591</v>
      </c>
      <c r="F115">
        <v>16.233499999999999</v>
      </c>
      <c r="G115">
        <f t="shared" si="4"/>
        <v>2.5600000000000733E-2</v>
      </c>
      <c r="H115" s="51">
        <v>46078</v>
      </c>
      <c r="I115" s="1">
        <v>46080</v>
      </c>
      <c r="K115" t="s">
        <v>195</v>
      </c>
    </row>
    <row r="116" spans="1:11" ht="15.95">
      <c r="A116" t="s">
        <v>237</v>
      </c>
      <c r="B116" t="s">
        <v>253</v>
      </c>
      <c r="C116" s="49" t="s">
        <v>98</v>
      </c>
      <c r="D116">
        <v>15</v>
      </c>
      <c r="E116">
        <v>16.4145</v>
      </c>
      <c r="F116">
        <v>16.3718</v>
      </c>
      <c r="G116">
        <f t="shared" si="4"/>
        <v>4.269999999999996E-2</v>
      </c>
      <c r="H116" s="51">
        <v>46078</v>
      </c>
      <c r="I116" s="1">
        <v>46080</v>
      </c>
      <c r="K116" t="s">
        <v>195</v>
      </c>
    </row>
    <row r="117" spans="1:11" ht="15.95">
      <c r="A117" t="s">
        <v>237</v>
      </c>
      <c r="B117" t="s">
        <v>254</v>
      </c>
      <c r="C117" s="49" t="s">
        <v>98</v>
      </c>
      <c r="D117">
        <v>13.1</v>
      </c>
      <c r="E117">
        <v>16.2621</v>
      </c>
      <c r="F117">
        <v>16.238499999999998</v>
      </c>
      <c r="G117">
        <f t="shared" ref="G117:G121" si="5">E117-F117</f>
        <v>2.3600000000001842E-2</v>
      </c>
      <c r="H117" s="51">
        <v>46078</v>
      </c>
      <c r="I117" s="1">
        <v>46080</v>
      </c>
      <c r="K117" t="s">
        <v>195</v>
      </c>
    </row>
    <row r="118" spans="1:11" ht="15.95">
      <c r="A118" t="s">
        <v>237</v>
      </c>
      <c r="B118" t="s">
        <v>255</v>
      </c>
      <c r="C118" s="49" t="s">
        <v>98</v>
      </c>
      <c r="D118">
        <v>12</v>
      </c>
      <c r="E118">
        <v>14.4216</v>
      </c>
      <c r="F118">
        <v>14.4132</v>
      </c>
      <c r="G118">
        <f t="shared" si="5"/>
        <v>8.3999999999999631E-3</v>
      </c>
      <c r="H118" s="51">
        <v>46078</v>
      </c>
      <c r="I118" s="1">
        <v>46080</v>
      </c>
      <c r="K118" t="s">
        <v>195</v>
      </c>
    </row>
    <row r="119" spans="1:11" ht="15.95">
      <c r="A119" t="s">
        <v>237</v>
      </c>
      <c r="B119" t="s">
        <v>256</v>
      </c>
      <c r="C119" s="49" t="s">
        <v>98</v>
      </c>
      <c r="D119">
        <v>12.2</v>
      </c>
      <c r="E119">
        <v>16.197399999999998</v>
      </c>
      <c r="F119">
        <v>16.158000000000001</v>
      </c>
      <c r="G119">
        <f t="shared" si="5"/>
        <v>3.9399999999996993E-2</v>
      </c>
      <c r="H119" s="51">
        <v>46078</v>
      </c>
      <c r="I119" s="1">
        <v>46080</v>
      </c>
      <c r="K119" t="s">
        <v>195</v>
      </c>
    </row>
    <row r="120" spans="1:11" ht="15.95">
      <c r="A120" t="s">
        <v>237</v>
      </c>
      <c r="B120" t="s">
        <v>257</v>
      </c>
      <c r="C120" s="49" t="s">
        <v>98</v>
      </c>
      <c r="D120">
        <v>11.3</v>
      </c>
      <c r="E120">
        <v>16.438700000000001</v>
      </c>
      <c r="F120">
        <v>16.4206</v>
      </c>
      <c r="G120">
        <f t="shared" si="5"/>
        <v>1.8100000000000449E-2</v>
      </c>
      <c r="H120" s="51">
        <v>46078</v>
      </c>
      <c r="I120" s="1">
        <v>46080</v>
      </c>
      <c r="K120" t="s">
        <v>195</v>
      </c>
    </row>
    <row r="121" spans="1:11" ht="15.95">
      <c r="A121" t="s">
        <v>237</v>
      </c>
      <c r="B121" t="s">
        <v>258</v>
      </c>
      <c r="C121" s="49" t="s">
        <v>98</v>
      </c>
      <c r="D121">
        <v>12.1</v>
      </c>
      <c r="E121">
        <v>16.366</v>
      </c>
      <c r="F121">
        <v>16.3416</v>
      </c>
      <c r="G121">
        <f t="shared" si="5"/>
        <v>2.4399999999999977E-2</v>
      </c>
      <c r="H121" s="51">
        <v>46078</v>
      </c>
      <c r="I121" s="1">
        <v>46080</v>
      </c>
      <c r="K121" t="s">
        <v>195</v>
      </c>
    </row>
  </sheetData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BDA9-9239-DB41-B153-65267088EF26}">
  <dimension ref="A1:P123"/>
  <sheetViews>
    <sheetView tabSelected="1" topLeftCell="A5" zoomScaleNormal="150" zoomScaleSheetLayoutView="100" workbookViewId="0">
      <selection activeCell="F41" sqref="F41"/>
    </sheetView>
  </sheetViews>
  <sheetFormatPr defaultColWidth="8.85546875" defaultRowHeight="15"/>
  <cols>
    <col min="2" max="2" width="10.28515625" customWidth="1"/>
    <col min="4" max="4" width="10.42578125" customWidth="1"/>
    <col min="5" max="5" width="10.85546875" customWidth="1"/>
    <col min="9" max="9" width="11.140625" bestFit="1" customWidth="1"/>
    <col min="10" max="10" width="9.85546875" customWidth="1"/>
  </cols>
  <sheetData>
    <row r="1" spans="1:16" ht="48">
      <c r="A1" s="48" t="str" cm="1">
        <f t="array" ref="A1:A121">'Crab Data'!A1:A121</f>
        <v>Location</v>
      </c>
      <c r="B1" s="48" t="str" cm="1">
        <f t="array" ref="B1:B121">'Crab Data'!B1:B121</f>
        <v>Label</v>
      </c>
      <c r="C1" s="48" t="str" cm="1">
        <f t="array" ref="C1:C121">'Crab Data'!C1:C121</f>
        <v>Sex</v>
      </c>
      <c r="D1" s="48" t="str" cm="1">
        <f t="array" ref="D1:D121">'Crab Data'!G1:G121</f>
        <v>Stomach weight (g)</v>
      </c>
      <c r="E1" s="48" t="s">
        <v>259</v>
      </c>
      <c r="F1" s="48" t="s">
        <v>260</v>
      </c>
      <c r="G1" s="48" t="s">
        <v>261</v>
      </c>
      <c r="H1" s="53" t="s">
        <v>262</v>
      </c>
      <c r="I1" s="54" t="s">
        <v>263</v>
      </c>
      <c r="J1" s="59" t="s">
        <v>264</v>
      </c>
      <c r="K1" s="55" t="s">
        <v>265</v>
      </c>
      <c r="L1" s="56" t="s">
        <v>266</v>
      </c>
      <c r="M1" s="56" t="s">
        <v>267</v>
      </c>
      <c r="N1" s="48" t="str" cm="1">
        <f t="array" ref="N1:N121">'Crab Data'!K1:K121</f>
        <v>Urban</v>
      </c>
      <c r="O1" t="s">
        <v>268</v>
      </c>
      <c r="P1" s="58" t="s">
        <v>94</v>
      </c>
    </row>
    <row r="2" spans="1:16" ht="15.95">
      <c r="A2" t="str">
        <v>TB</v>
      </c>
      <c r="B2" t="str">
        <v>F.TB.1</v>
      </c>
      <c r="C2" s="49" t="str">
        <v>F</v>
      </c>
      <c r="D2">
        <v>5.5600000000000094E-2</v>
      </c>
      <c r="E2" s="1">
        <v>46069</v>
      </c>
      <c r="F2">
        <v>8</v>
      </c>
      <c r="G2">
        <f t="shared" ref="G2:G33" si="0">QUOTIENT(F2,D2)</f>
        <v>143</v>
      </c>
      <c r="H2" s="60">
        <v>4</v>
      </c>
      <c r="I2">
        <f t="shared" ref="I2:I33" si="1">QUOTIENT(H2,D2)</f>
        <v>71</v>
      </c>
      <c r="J2" s="61">
        <v>2</v>
      </c>
      <c r="K2">
        <f t="shared" ref="K2:K33" si="2">QUOTIENT(J2,D2)</f>
        <v>35</v>
      </c>
      <c r="L2" s="62">
        <v>2</v>
      </c>
      <c r="M2">
        <f t="shared" ref="M2:M33" si="3">QUOTIENT(L2,D2)</f>
        <v>35</v>
      </c>
      <c r="N2" t="str">
        <v>URBAN</v>
      </c>
      <c r="O2">
        <v>1</v>
      </c>
    </row>
    <row r="3" spans="1:16" ht="15.95">
      <c r="A3" t="str">
        <v>TB</v>
      </c>
      <c r="B3" t="str">
        <v>M.TB.2</v>
      </c>
      <c r="C3" s="50" t="str">
        <v>M</v>
      </c>
      <c r="D3">
        <v>6.7200000000000593E-2</v>
      </c>
      <c r="E3" s="1">
        <v>46069</v>
      </c>
      <c r="F3">
        <v>3</v>
      </c>
      <c r="G3">
        <f t="shared" si="0"/>
        <v>44</v>
      </c>
      <c r="H3" s="60">
        <v>2</v>
      </c>
      <c r="I3">
        <f t="shared" si="1"/>
        <v>29</v>
      </c>
      <c r="J3" s="61">
        <v>1</v>
      </c>
      <c r="K3">
        <f t="shared" si="2"/>
        <v>14</v>
      </c>
      <c r="L3" s="62">
        <v>0</v>
      </c>
      <c r="M3">
        <f t="shared" si="3"/>
        <v>0</v>
      </c>
      <c r="N3" t="str">
        <v>URBAN</v>
      </c>
      <c r="O3">
        <v>1</v>
      </c>
    </row>
    <row r="4" spans="1:16" ht="15.95">
      <c r="A4" t="str">
        <v>TB</v>
      </c>
      <c r="B4" t="str">
        <v>M.TB.3</v>
      </c>
      <c r="C4" s="50" t="str">
        <v>M</v>
      </c>
      <c r="D4">
        <v>6.8299999999999805E-2</v>
      </c>
      <c r="E4" s="1">
        <v>46069</v>
      </c>
      <c r="F4">
        <v>4</v>
      </c>
      <c r="G4">
        <f t="shared" si="0"/>
        <v>58</v>
      </c>
      <c r="H4" s="60">
        <v>2</v>
      </c>
      <c r="I4">
        <f t="shared" si="1"/>
        <v>29</v>
      </c>
      <c r="J4" s="61">
        <v>1</v>
      </c>
      <c r="K4">
        <f t="shared" si="2"/>
        <v>14</v>
      </c>
      <c r="L4" s="62">
        <v>1</v>
      </c>
      <c r="M4">
        <f t="shared" si="3"/>
        <v>14</v>
      </c>
      <c r="N4" t="str">
        <v>URBAN</v>
      </c>
      <c r="O4">
        <v>1</v>
      </c>
    </row>
    <row r="5" spans="1:16" ht="15.95">
      <c r="A5" t="str">
        <v>TB</v>
      </c>
      <c r="B5" t="str">
        <v>M.TB.4</v>
      </c>
      <c r="C5" s="50" t="str">
        <v>M</v>
      </c>
      <c r="D5">
        <v>7.7199999999999491E-2</v>
      </c>
      <c r="E5" s="1">
        <v>46069</v>
      </c>
      <c r="F5">
        <v>7</v>
      </c>
      <c r="G5">
        <f t="shared" si="0"/>
        <v>90</v>
      </c>
      <c r="H5" s="60">
        <v>3</v>
      </c>
      <c r="I5">
        <f t="shared" si="1"/>
        <v>38</v>
      </c>
      <c r="J5" s="61">
        <v>4</v>
      </c>
      <c r="K5">
        <f t="shared" si="2"/>
        <v>51</v>
      </c>
      <c r="L5" s="62">
        <v>0</v>
      </c>
      <c r="M5">
        <f t="shared" si="3"/>
        <v>0</v>
      </c>
      <c r="N5" t="str">
        <v>URBAN</v>
      </c>
      <c r="O5">
        <v>1</v>
      </c>
      <c r="P5" s="57" t="s">
        <v>269</v>
      </c>
    </row>
    <row r="6" spans="1:16" ht="15.95">
      <c r="A6" t="str">
        <v>TB</v>
      </c>
      <c r="B6" t="str">
        <v>F.TB.5</v>
      </c>
      <c r="C6" s="49" t="str">
        <v>F</v>
      </c>
      <c r="D6">
        <v>4.1100000000000136E-2</v>
      </c>
      <c r="E6" s="1">
        <v>46069</v>
      </c>
      <c r="F6">
        <v>3</v>
      </c>
      <c r="G6">
        <f t="shared" si="0"/>
        <v>72</v>
      </c>
      <c r="H6" s="60">
        <v>1</v>
      </c>
      <c r="I6">
        <f t="shared" si="1"/>
        <v>24</v>
      </c>
      <c r="J6" s="61">
        <v>2</v>
      </c>
      <c r="K6">
        <f t="shared" si="2"/>
        <v>48</v>
      </c>
      <c r="L6" s="62">
        <v>0</v>
      </c>
      <c r="M6">
        <f t="shared" si="3"/>
        <v>0</v>
      </c>
      <c r="N6" t="str">
        <v>URBAN</v>
      </c>
      <c r="O6">
        <v>1</v>
      </c>
    </row>
    <row r="7" spans="1:16" ht="15.95">
      <c r="A7" t="str">
        <v>TB</v>
      </c>
      <c r="B7" t="str">
        <v>M.TB.6</v>
      </c>
      <c r="C7" s="50" t="str">
        <v>M</v>
      </c>
      <c r="D7">
        <v>7.0899999999999963E-2</v>
      </c>
      <c r="E7" s="1">
        <v>46069</v>
      </c>
      <c r="F7">
        <v>5</v>
      </c>
      <c r="G7">
        <f t="shared" si="0"/>
        <v>70</v>
      </c>
      <c r="H7" s="60">
        <v>4</v>
      </c>
      <c r="I7">
        <f t="shared" si="1"/>
        <v>56</v>
      </c>
      <c r="J7" s="61">
        <v>0</v>
      </c>
      <c r="K7">
        <f t="shared" si="2"/>
        <v>0</v>
      </c>
      <c r="L7" s="62">
        <v>1</v>
      </c>
      <c r="M7">
        <f t="shared" si="3"/>
        <v>14</v>
      </c>
      <c r="N7" t="str">
        <v>URBAN</v>
      </c>
      <c r="O7">
        <v>1</v>
      </c>
    </row>
    <row r="8" spans="1:16" ht="15.95">
      <c r="A8" t="str">
        <v>TB</v>
      </c>
      <c r="B8" t="str">
        <v>M.TB.7</v>
      </c>
      <c r="C8" s="50" t="str">
        <v>M</v>
      </c>
      <c r="D8">
        <v>8.0799999999999983E-2</v>
      </c>
      <c r="E8" s="1">
        <v>46069</v>
      </c>
      <c r="F8">
        <v>21</v>
      </c>
      <c r="G8">
        <f t="shared" si="0"/>
        <v>259</v>
      </c>
      <c r="H8" s="60">
        <v>7</v>
      </c>
      <c r="I8">
        <f t="shared" si="1"/>
        <v>86</v>
      </c>
      <c r="J8" s="61">
        <v>8</v>
      </c>
      <c r="K8">
        <f t="shared" si="2"/>
        <v>99</v>
      </c>
      <c r="L8" s="62">
        <v>6</v>
      </c>
      <c r="M8">
        <f t="shared" si="3"/>
        <v>74</v>
      </c>
      <c r="N8" t="str">
        <v>URBAN</v>
      </c>
      <c r="O8">
        <v>1</v>
      </c>
    </row>
    <row r="9" spans="1:16" ht="15.95">
      <c r="A9" t="str">
        <v>TB</v>
      </c>
      <c r="B9" t="str">
        <v>F.TB.8</v>
      </c>
      <c r="C9" s="49" t="str">
        <v>F</v>
      </c>
      <c r="D9">
        <v>6.7699999999999427E-2</v>
      </c>
      <c r="E9" s="1">
        <v>46069</v>
      </c>
      <c r="F9">
        <v>13</v>
      </c>
      <c r="G9">
        <f t="shared" si="0"/>
        <v>192</v>
      </c>
      <c r="H9" s="60">
        <v>5</v>
      </c>
      <c r="I9">
        <f t="shared" si="1"/>
        <v>73</v>
      </c>
      <c r="J9" s="61">
        <v>6</v>
      </c>
      <c r="K9">
        <f t="shared" si="2"/>
        <v>88</v>
      </c>
      <c r="L9" s="62">
        <v>2</v>
      </c>
      <c r="M9">
        <f t="shared" si="3"/>
        <v>29</v>
      </c>
      <c r="N9" t="str">
        <v>URBAN</v>
      </c>
      <c r="O9">
        <v>1</v>
      </c>
    </row>
    <row r="10" spans="1:16" ht="15.95">
      <c r="A10" t="str">
        <v>TB</v>
      </c>
      <c r="B10" t="str">
        <v>M.TB.9</v>
      </c>
      <c r="C10" s="50" t="str">
        <v>M</v>
      </c>
      <c r="D10">
        <v>6.4799999999999969E-2</v>
      </c>
      <c r="E10" s="1">
        <v>46069</v>
      </c>
      <c r="F10">
        <v>4</v>
      </c>
      <c r="G10">
        <f t="shared" si="0"/>
        <v>61</v>
      </c>
      <c r="H10" s="60">
        <v>0</v>
      </c>
      <c r="I10">
        <f t="shared" si="1"/>
        <v>0</v>
      </c>
      <c r="J10" s="61">
        <v>3</v>
      </c>
      <c r="K10">
        <f t="shared" si="2"/>
        <v>46</v>
      </c>
      <c r="L10" s="62">
        <v>1</v>
      </c>
      <c r="M10">
        <f t="shared" si="3"/>
        <v>15</v>
      </c>
      <c r="N10" t="str">
        <v>URBAN</v>
      </c>
      <c r="O10">
        <v>1</v>
      </c>
    </row>
    <row r="11" spans="1:16" ht="15.95">
      <c r="A11" t="str">
        <v>TB</v>
      </c>
      <c r="B11" t="str">
        <v>F.TB.10</v>
      </c>
      <c r="C11" s="49" t="str">
        <v>F</v>
      </c>
      <c r="D11">
        <v>7.1099999999999497E-2</v>
      </c>
      <c r="E11" s="1">
        <v>46069</v>
      </c>
      <c r="F11">
        <v>5</v>
      </c>
      <c r="G11">
        <f t="shared" si="0"/>
        <v>70</v>
      </c>
      <c r="H11" s="60">
        <v>3</v>
      </c>
      <c r="I11">
        <f t="shared" si="1"/>
        <v>42</v>
      </c>
      <c r="J11" s="61">
        <v>2</v>
      </c>
      <c r="K11">
        <f t="shared" si="2"/>
        <v>28</v>
      </c>
      <c r="L11" s="62"/>
      <c r="M11">
        <f t="shared" si="3"/>
        <v>0</v>
      </c>
      <c r="N11" t="str">
        <v>URBAN</v>
      </c>
      <c r="O11">
        <v>1</v>
      </c>
      <c r="P11" s="57" t="s">
        <v>270</v>
      </c>
    </row>
    <row r="12" spans="1:16" ht="15.95">
      <c r="A12" t="str">
        <v>TB</v>
      </c>
      <c r="B12" t="str">
        <v>M.TB.11</v>
      </c>
      <c r="C12" s="50" t="str">
        <v>M</v>
      </c>
      <c r="D12">
        <v>9.8400000000000709E-2</v>
      </c>
      <c r="E12" s="1">
        <v>46069</v>
      </c>
      <c r="F12">
        <v>11</v>
      </c>
      <c r="G12">
        <f t="shared" si="0"/>
        <v>111</v>
      </c>
      <c r="H12" s="60">
        <v>5</v>
      </c>
      <c r="I12">
        <f t="shared" si="1"/>
        <v>50</v>
      </c>
      <c r="J12" s="61">
        <v>2</v>
      </c>
      <c r="K12">
        <f t="shared" si="2"/>
        <v>20</v>
      </c>
      <c r="L12" s="62">
        <v>4</v>
      </c>
      <c r="M12">
        <f t="shared" si="3"/>
        <v>40</v>
      </c>
      <c r="N12" t="str">
        <v>URBAN</v>
      </c>
      <c r="O12">
        <v>1</v>
      </c>
    </row>
    <row r="13" spans="1:16" ht="15.95">
      <c r="A13" t="str">
        <v>TB</v>
      </c>
      <c r="B13" t="str">
        <v>M.TB.12</v>
      </c>
      <c r="C13" s="50" t="str">
        <v>M</v>
      </c>
      <c r="D13">
        <v>6.7600000000000549E-2</v>
      </c>
      <c r="E13" s="1">
        <v>46069</v>
      </c>
      <c r="F13">
        <v>13</v>
      </c>
      <c r="G13">
        <f t="shared" si="0"/>
        <v>192</v>
      </c>
      <c r="H13" s="60">
        <v>2</v>
      </c>
      <c r="I13">
        <f t="shared" si="1"/>
        <v>29</v>
      </c>
      <c r="J13" s="61">
        <v>9</v>
      </c>
      <c r="K13">
        <f t="shared" si="2"/>
        <v>133</v>
      </c>
      <c r="L13" s="62">
        <v>2</v>
      </c>
      <c r="M13">
        <f t="shared" si="3"/>
        <v>29</v>
      </c>
      <c r="N13" t="str">
        <v>URBAN</v>
      </c>
      <c r="O13">
        <v>1</v>
      </c>
    </row>
    <row r="14" spans="1:16" ht="15.95">
      <c r="A14" t="str">
        <v>TB</v>
      </c>
      <c r="B14" t="str">
        <v>F.TB.13</v>
      </c>
      <c r="C14" s="49" t="str">
        <v>F</v>
      </c>
      <c r="D14">
        <v>5.8399999999999785E-2</v>
      </c>
      <c r="E14" s="1">
        <v>46069</v>
      </c>
      <c r="F14">
        <v>5</v>
      </c>
      <c r="G14">
        <f t="shared" si="0"/>
        <v>85</v>
      </c>
      <c r="H14" s="60">
        <v>0</v>
      </c>
      <c r="I14">
        <f t="shared" si="1"/>
        <v>0</v>
      </c>
      <c r="J14" s="61">
        <v>2</v>
      </c>
      <c r="K14">
        <f t="shared" si="2"/>
        <v>34</v>
      </c>
      <c r="L14" s="62">
        <v>3</v>
      </c>
      <c r="M14">
        <f t="shared" si="3"/>
        <v>51</v>
      </c>
      <c r="N14" t="str">
        <v>URBAN</v>
      </c>
      <c r="O14">
        <v>1</v>
      </c>
    </row>
    <row r="15" spans="1:16" ht="15.95">
      <c r="A15" t="str">
        <v>TB</v>
      </c>
      <c r="B15" t="str">
        <v>F.TB.14</v>
      </c>
      <c r="C15" s="49" t="str">
        <v>F</v>
      </c>
      <c r="D15">
        <v>5.9300000000000352E-2</v>
      </c>
      <c r="E15" s="1">
        <v>46069</v>
      </c>
      <c r="F15">
        <v>4</v>
      </c>
      <c r="G15">
        <f t="shared" si="0"/>
        <v>67</v>
      </c>
      <c r="H15" s="60">
        <v>0</v>
      </c>
      <c r="I15">
        <f t="shared" si="1"/>
        <v>0</v>
      </c>
      <c r="J15" s="61">
        <v>2</v>
      </c>
      <c r="K15">
        <f t="shared" si="2"/>
        <v>33</v>
      </c>
      <c r="L15" s="62">
        <v>2</v>
      </c>
      <c r="M15">
        <f t="shared" si="3"/>
        <v>33</v>
      </c>
      <c r="N15" t="str">
        <v>URBAN</v>
      </c>
      <c r="O15">
        <v>1</v>
      </c>
    </row>
    <row r="16" spans="1:16" ht="15.95">
      <c r="A16" t="str">
        <v>TB</v>
      </c>
      <c r="B16" t="str">
        <v>F.TB.15</v>
      </c>
      <c r="C16" s="49" t="str">
        <v>F</v>
      </c>
      <c r="D16">
        <v>2.7099999999999902E-2</v>
      </c>
      <c r="E16" s="1">
        <v>46069</v>
      </c>
      <c r="F16">
        <v>1</v>
      </c>
      <c r="G16">
        <f t="shared" si="0"/>
        <v>36</v>
      </c>
      <c r="H16" s="60">
        <v>1</v>
      </c>
      <c r="I16">
        <f t="shared" si="1"/>
        <v>36</v>
      </c>
      <c r="J16" s="61">
        <v>0</v>
      </c>
      <c r="K16">
        <f t="shared" si="2"/>
        <v>0</v>
      </c>
      <c r="L16" s="62">
        <v>0</v>
      </c>
      <c r="M16">
        <f t="shared" si="3"/>
        <v>0</v>
      </c>
      <c r="N16" t="str">
        <v>URBAN</v>
      </c>
      <c r="O16">
        <v>1</v>
      </c>
      <c r="P16" s="57" t="s">
        <v>271</v>
      </c>
    </row>
    <row r="17" spans="1:16" ht="15.95">
      <c r="A17" t="str">
        <v>TB</v>
      </c>
      <c r="B17" t="str">
        <v>F.TB.16</v>
      </c>
      <c r="C17" s="49" t="str">
        <v>F</v>
      </c>
      <c r="D17">
        <v>3.420000000000023E-2</v>
      </c>
      <c r="E17" s="1">
        <v>46069</v>
      </c>
      <c r="F17">
        <v>1</v>
      </c>
      <c r="G17">
        <f t="shared" si="0"/>
        <v>29</v>
      </c>
      <c r="H17" s="60">
        <v>0</v>
      </c>
      <c r="I17">
        <f t="shared" si="1"/>
        <v>0</v>
      </c>
      <c r="J17" s="61">
        <v>0</v>
      </c>
      <c r="K17">
        <f t="shared" si="2"/>
        <v>0</v>
      </c>
      <c r="L17" s="62">
        <v>1</v>
      </c>
      <c r="M17">
        <f t="shared" si="3"/>
        <v>29</v>
      </c>
      <c r="N17" t="str">
        <v>URBAN</v>
      </c>
      <c r="O17">
        <v>1</v>
      </c>
      <c r="P17" s="57"/>
    </row>
    <row r="18" spans="1:16" ht="15.95">
      <c r="A18" t="str">
        <v>TB</v>
      </c>
      <c r="B18" t="str">
        <v>M.TB.17</v>
      </c>
      <c r="C18" s="50" t="str">
        <v>M</v>
      </c>
      <c r="D18">
        <v>6.9200000000000372E-2</v>
      </c>
      <c r="E18" s="51">
        <v>46070</v>
      </c>
      <c r="F18">
        <v>8</v>
      </c>
      <c r="G18">
        <f t="shared" si="0"/>
        <v>115</v>
      </c>
      <c r="H18" s="60">
        <v>1</v>
      </c>
      <c r="I18">
        <f t="shared" si="1"/>
        <v>14</v>
      </c>
      <c r="J18" s="61">
        <v>3</v>
      </c>
      <c r="K18">
        <f t="shared" si="2"/>
        <v>43</v>
      </c>
      <c r="L18" s="62">
        <v>4</v>
      </c>
      <c r="M18">
        <f t="shared" si="3"/>
        <v>57</v>
      </c>
      <c r="N18" t="str">
        <v>URBAN</v>
      </c>
      <c r="O18">
        <v>1</v>
      </c>
    </row>
    <row r="19" spans="1:16" ht="15.95">
      <c r="A19" t="str">
        <v>TB</v>
      </c>
      <c r="B19" t="str">
        <v>F.TB.18</v>
      </c>
      <c r="C19" s="49" t="str">
        <v>F</v>
      </c>
      <c r="D19">
        <v>6.6799999999999748E-2</v>
      </c>
      <c r="E19" s="51">
        <v>46070</v>
      </c>
      <c r="F19">
        <v>25</v>
      </c>
      <c r="G19">
        <f t="shared" si="0"/>
        <v>374</v>
      </c>
      <c r="H19" s="60">
        <v>8</v>
      </c>
      <c r="I19">
        <f t="shared" si="1"/>
        <v>119</v>
      </c>
      <c r="J19" s="61">
        <v>13</v>
      </c>
      <c r="K19">
        <f t="shared" si="2"/>
        <v>194</v>
      </c>
      <c r="L19" s="62">
        <v>4</v>
      </c>
      <c r="M19">
        <f t="shared" si="3"/>
        <v>59</v>
      </c>
      <c r="N19" t="str">
        <v>URBAN</v>
      </c>
      <c r="O19">
        <v>1</v>
      </c>
      <c r="P19" s="57" t="s">
        <v>272</v>
      </c>
    </row>
    <row r="20" spans="1:16" ht="15.95">
      <c r="A20" t="str">
        <v>TB</v>
      </c>
      <c r="B20" t="str">
        <v>M.TB.19</v>
      </c>
      <c r="C20" s="50" t="str">
        <v>M</v>
      </c>
      <c r="D20">
        <v>5.6200000000000472E-2</v>
      </c>
      <c r="E20" s="1">
        <v>46071</v>
      </c>
      <c r="F20">
        <v>3</v>
      </c>
      <c r="G20">
        <f t="shared" si="0"/>
        <v>53</v>
      </c>
      <c r="H20" s="60">
        <v>3</v>
      </c>
      <c r="I20">
        <f t="shared" si="1"/>
        <v>53</v>
      </c>
      <c r="J20" s="61">
        <v>0</v>
      </c>
      <c r="K20">
        <f t="shared" si="2"/>
        <v>0</v>
      </c>
      <c r="L20" s="62">
        <v>0</v>
      </c>
      <c r="M20">
        <f t="shared" si="3"/>
        <v>0</v>
      </c>
      <c r="N20" t="str">
        <v>URBAN</v>
      </c>
      <c r="O20">
        <v>1</v>
      </c>
    </row>
    <row r="21" spans="1:16" ht="15.95">
      <c r="A21" t="str">
        <v>TB</v>
      </c>
      <c r="B21" t="str">
        <v>F.TB.20</v>
      </c>
      <c r="C21" s="49" t="str">
        <v>F</v>
      </c>
      <c r="D21">
        <v>5.2100000000000257E-2</v>
      </c>
      <c r="E21" s="1">
        <v>46071</v>
      </c>
      <c r="F21">
        <v>4</v>
      </c>
      <c r="G21">
        <f t="shared" si="0"/>
        <v>76</v>
      </c>
      <c r="H21" s="60">
        <v>0</v>
      </c>
      <c r="I21">
        <f t="shared" si="1"/>
        <v>0</v>
      </c>
      <c r="J21" s="61">
        <v>1</v>
      </c>
      <c r="K21">
        <f t="shared" si="2"/>
        <v>19</v>
      </c>
      <c r="L21" s="62">
        <v>3</v>
      </c>
      <c r="M21">
        <f t="shared" si="3"/>
        <v>57</v>
      </c>
      <c r="N21" t="str">
        <v>URBAN</v>
      </c>
      <c r="O21">
        <v>1</v>
      </c>
    </row>
    <row r="22" spans="1:16" ht="15.95">
      <c r="A22" t="str">
        <v>KB</v>
      </c>
      <c r="B22" t="str">
        <v>M.KB.1</v>
      </c>
      <c r="C22" s="50" t="str">
        <v>M</v>
      </c>
      <c r="D22">
        <v>4.410000000000025E-2</v>
      </c>
      <c r="E22" s="1">
        <v>46072</v>
      </c>
      <c r="F22">
        <v>13</v>
      </c>
      <c r="G22">
        <f t="shared" si="0"/>
        <v>294</v>
      </c>
      <c r="H22" s="60">
        <v>6</v>
      </c>
      <c r="I22">
        <f t="shared" si="1"/>
        <v>136</v>
      </c>
      <c r="J22" s="61">
        <v>5</v>
      </c>
      <c r="K22">
        <f t="shared" si="2"/>
        <v>113</v>
      </c>
      <c r="L22" s="62">
        <v>2</v>
      </c>
      <c r="M22">
        <f t="shared" si="3"/>
        <v>45</v>
      </c>
      <c r="N22" t="str">
        <v>URBAN</v>
      </c>
      <c r="O22">
        <v>2</v>
      </c>
    </row>
    <row r="23" spans="1:16" ht="15.95">
      <c r="A23" t="str">
        <v>KB</v>
      </c>
      <c r="B23" t="str">
        <v>M.KB.2</v>
      </c>
      <c r="C23" s="50" t="str">
        <v>M</v>
      </c>
      <c r="D23">
        <v>4.5400000000000773E-2</v>
      </c>
      <c r="E23" s="1">
        <v>46072</v>
      </c>
      <c r="F23">
        <v>5</v>
      </c>
      <c r="G23">
        <f t="shared" si="0"/>
        <v>110</v>
      </c>
      <c r="H23" s="60">
        <v>1</v>
      </c>
      <c r="I23">
        <f t="shared" si="1"/>
        <v>22</v>
      </c>
      <c r="J23" s="61">
        <v>3</v>
      </c>
      <c r="K23">
        <f t="shared" si="2"/>
        <v>66</v>
      </c>
      <c r="L23" s="62">
        <v>1</v>
      </c>
      <c r="M23">
        <f t="shared" si="3"/>
        <v>22</v>
      </c>
      <c r="N23" t="str">
        <v>URBAN</v>
      </c>
      <c r="O23">
        <v>2</v>
      </c>
    </row>
    <row r="24" spans="1:16" ht="15.95">
      <c r="A24" t="str">
        <v>KB</v>
      </c>
      <c r="B24" t="str">
        <v>M.KB.3</v>
      </c>
      <c r="C24" s="50" t="str">
        <v>M</v>
      </c>
      <c r="D24">
        <v>2.0899999999997476E-2</v>
      </c>
      <c r="E24" s="1">
        <v>46072</v>
      </c>
      <c r="F24">
        <v>4</v>
      </c>
      <c r="G24">
        <f t="shared" si="0"/>
        <v>191</v>
      </c>
      <c r="H24" s="60">
        <v>1</v>
      </c>
      <c r="I24">
        <f t="shared" si="1"/>
        <v>47</v>
      </c>
      <c r="J24" s="61">
        <v>0</v>
      </c>
      <c r="K24">
        <f t="shared" si="2"/>
        <v>0</v>
      </c>
      <c r="L24" s="62">
        <v>3</v>
      </c>
      <c r="M24">
        <f t="shared" si="3"/>
        <v>143</v>
      </c>
      <c r="N24" t="str">
        <v>URBAN</v>
      </c>
      <c r="O24">
        <v>2</v>
      </c>
    </row>
    <row r="25" spans="1:16" ht="15.95">
      <c r="A25" t="str">
        <v>KB</v>
      </c>
      <c r="B25" t="str">
        <v>M.KB.4</v>
      </c>
      <c r="C25" s="50" t="str">
        <v>M</v>
      </c>
      <c r="D25">
        <v>5.3899999999998727E-2</v>
      </c>
      <c r="E25" s="1">
        <v>46072</v>
      </c>
      <c r="F25">
        <v>2</v>
      </c>
      <c r="G25">
        <f t="shared" si="0"/>
        <v>37</v>
      </c>
      <c r="H25" s="60">
        <v>1</v>
      </c>
      <c r="I25">
        <f t="shared" si="1"/>
        <v>18</v>
      </c>
      <c r="J25" s="61">
        <v>0</v>
      </c>
      <c r="K25">
        <f t="shared" si="2"/>
        <v>0</v>
      </c>
      <c r="L25" s="62">
        <v>1</v>
      </c>
      <c r="M25">
        <f t="shared" si="3"/>
        <v>18</v>
      </c>
      <c r="N25" t="str">
        <v>URBAN</v>
      </c>
      <c r="O25">
        <v>2</v>
      </c>
    </row>
    <row r="26" spans="1:16" ht="15.95">
      <c r="A26" t="str">
        <v>KB</v>
      </c>
      <c r="B26" t="str">
        <v>M.KB.5</v>
      </c>
      <c r="C26" s="50" t="str">
        <v>M</v>
      </c>
      <c r="D26">
        <v>1.1699999999999378E-2</v>
      </c>
      <c r="E26" s="1">
        <v>46072</v>
      </c>
      <c r="F26">
        <v>2</v>
      </c>
      <c r="G26">
        <f t="shared" si="0"/>
        <v>170</v>
      </c>
      <c r="H26" s="60">
        <v>2</v>
      </c>
      <c r="I26">
        <f t="shared" si="1"/>
        <v>170</v>
      </c>
      <c r="J26" s="61">
        <v>0</v>
      </c>
      <c r="K26">
        <f t="shared" si="2"/>
        <v>0</v>
      </c>
      <c r="L26" s="62">
        <v>0</v>
      </c>
      <c r="M26">
        <f t="shared" si="3"/>
        <v>0</v>
      </c>
      <c r="N26" t="str">
        <v>URBAN</v>
      </c>
      <c r="O26">
        <v>2</v>
      </c>
    </row>
    <row r="27" spans="1:16" ht="15.95">
      <c r="A27" t="str">
        <v>KB</v>
      </c>
      <c r="B27" t="str">
        <v>M.KB.6</v>
      </c>
      <c r="C27" s="50" t="str">
        <v>M</v>
      </c>
      <c r="D27">
        <v>4.4399999999999551E-2</v>
      </c>
      <c r="E27" s="1">
        <v>46072</v>
      </c>
      <c r="F27">
        <v>5</v>
      </c>
      <c r="G27">
        <f t="shared" si="0"/>
        <v>112</v>
      </c>
      <c r="H27" s="60">
        <v>2</v>
      </c>
      <c r="I27">
        <f t="shared" si="1"/>
        <v>45</v>
      </c>
      <c r="J27" s="61">
        <v>2</v>
      </c>
      <c r="K27">
        <f t="shared" si="2"/>
        <v>45</v>
      </c>
      <c r="L27" s="62">
        <v>1</v>
      </c>
      <c r="M27">
        <f t="shared" si="3"/>
        <v>22</v>
      </c>
      <c r="N27" t="str">
        <v>URBAN</v>
      </c>
      <c r="O27">
        <v>2</v>
      </c>
    </row>
    <row r="28" spans="1:16" ht="15.95">
      <c r="A28" t="str">
        <v>KB</v>
      </c>
      <c r="B28" t="str">
        <v>M.KB.7</v>
      </c>
      <c r="C28" s="50" t="str">
        <v>M</v>
      </c>
      <c r="D28">
        <v>2.1700000000000941E-2</v>
      </c>
      <c r="E28" s="1">
        <v>46075</v>
      </c>
      <c r="F28">
        <v>19</v>
      </c>
      <c r="G28">
        <f t="shared" si="0"/>
        <v>875</v>
      </c>
      <c r="H28" s="60">
        <v>1</v>
      </c>
      <c r="I28">
        <f t="shared" si="1"/>
        <v>46</v>
      </c>
      <c r="J28" s="61">
        <v>8</v>
      </c>
      <c r="K28">
        <f t="shared" si="2"/>
        <v>368</v>
      </c>
      <c r="L28" s="62">
        <v>10</v>
      </c>
      <c r="M28">
        <f t="shared" si="3"/>
        <v>460</v>
      </c>
      <c r="N28" t="str">
        <v>URBAN</v>
      </c>
      <c r="O28">
        <v>2</v>
      </c>
    </row>
    <row r="29" spans="1:16" ht="15.95">
      <c r="A29" t="str">
        <v>KB</v>
      </c>
      <c r="B29" t="str">
        <v>M.KB.8</v>
      </c>
      <c r="C29" s="50" t="str">
        <v>M</v>
      </c>
      <c r="D29">
        <v>4.1499999999999204E-2</v>
      </c>
      <c r="E29" s="1">
        <v>46075</v>
      </c>
      <c r="F29">
        <v>11</v>
      </c>
      <c r="G29">
        <f t="shared" si="0"/>
        <v>265</v>
      </c>
      <c r="H29" s="60">
        <v>8</v>
      </c>
      <c r="I29">
        <f t="shared" si="1"/>
        <v>192</v>
      </c>
      <c r="J29" s="61">
        <v>1</v>
      </c>
      <c r="K29">
        <f t="shared" si="2"/>
        <v>24</v>
      </c>
      <c r="L29" s="62">
        <v>2</v>
      </c>
      <c r="M29">
        <f t="shared" si="3"/>
        <v>48</v>
      </c>
      <c r="N29" t="str">
        <v>URBAN</v>
      </c>
      <c r="O29">
        <v>2</v>
      </c>
    </row>
    <row r="30" spans="1:16" ht="15.95">
      <c r="A30" t="str">
        <v>KB</v>
      </c>
      <c r="B30" t="str">
        <v>M.KB.9</v>
      </c>
      <c r="C30" s="50" t="str">
        <v>M</v>
      </c>
      <c r="D30">
        <v>2.5999999999999801E-2</v>
      </c>
      <c r="E30" s="1">
        <v>46075</v>
      </c>
      <c r="F30">
        <v>14</v>
      </c>
      <c r="G30">
        <f t="shared" si="0"/>
        <v>538</v>
      </c>
      <c r="H30" s="60">
        <v>5</v>
      </c>
      <c r="I30">
        <f t="shared" si="1"/>
        <v>192</v>
      </c>
      <c r="J30" s="61">
        <v>5</v>
      </c>
      <c r="K30">
        <f t="shared" si="2"/>
        <v>192</v>
      </c>
      <c r="L30" s="62">
        <v>4</v>
      </c>
      <c r="M30">
        <f t="shared" si="3"/>
        <v>153</v>
      </c>
      <c r="N30" t="str">
        <v>URBAN</v>
      </c>
      <c r="O30">
        <v>2</v>
      </c>
    </row>
    <row r="31" spans="1:16" ht="15.95">
      <c r="A31" t="str">
        <v>KB</v>
      </c>
      <c r="B31" t="str">
        <v>M.KB.10</v>
      </c>
      <c r="C31" s="50" t="str">
        <v>M</v>
      </c>
      <c r="D31">
        <v>4.9500000000000099E-2</v>
      </c>
      <c r="E31" s="1">
        <v>46075</v>
      </c>
      <c r="F31">
        <v>22</v>
      </c>
      <c r="G31">
        <f t="shared" si="0"/>
        <v>444</v>
      </c>
      <c r="H31" s="60">
        <v>10</v>
      </c>
      <c r="I31">
        <f t="shared" si="1"/>
        <v>202</v>
      </c>
      <c r="J31" s="61">
        <v>10</v>
      </c>
      <c r="K31">
        <f t="shared" si="2"/>
        <v>202</v>
      </c>
      <c r="L31" s="62">
        <v>2</v>
      </c>
      <c r="M31">
        <f t="shared" si="3"/>
        <v>40</v>
      </c>
      <c r="N31" t="str">
        <v>URBAN</v>
      </c>
      <c r="O31">
        <v>2</v>
      </c>
    </row>
    <row r="32" spans="1:16" ht="15.95">
      <c r="A32" t="str">
        <v>KB</v>
      </c>
      <c r="B32" t="str">
        <v>F.KB.11</v>
      </c>
      <c r="C32" s="49" t="str">
        <v>F</v>
      </c>
      <c r="D32">
        <v>8.9699999999997004E-2</v>
      </c>
      <c r="E32" s="1">
        <v>46076</v>
      </c>
      <c r="F32">
        <v>8</v>
      </c>
      <c r="G32">
        <f t="shared" si="0"/>
        <v>89</v>
      </c>
      <c r="H32" s="60">
        <v>0</v>
      </c>
      <c r="I32">
        <f t="shared" si="1"/>
        <v>0</v>
      </c>
      <c r="J32" s="61">
        <v>3</v>
      </c>
      <c r="K32">
        <f t="shared" si="2"/>
        <v>33</v>
      </c>
      <c r="L32" s="62">
        <v>5</v>
      </c>
      <c r="M32">
        <f t="shared" si="3"/>
        <v>55</v>
      </c>
      <c r="N32" t="str">
        <v>URBAN</v>
      </c>
      <c r="O32">
        <v>2</v>
      </c>
    </row>
    <row r="33" spans="1:16" ht="15.95">
      <c r="A33" t="str">
        <v>KB</v>
      </c>
      <c r="B33" t="str">
        <v>F.KB.12</v>
      </c>
      <c r="C33" s="49" t="str">
        <v>F</v>
      </c>
      <c r="D33">
        <v>5.3499999999999659E-2</v>
      </c>
      <c r="E33" s="1">
        <v>46076</v>
      </c>
      <c r="F33">
        <v>7</v>
      </c>
      <c r="G33">
        <f t="shared" si="0"/>
        <v>130</v>
      </c>
      <c r="H33" s="60">
        <v>3</v>
      </c>
      <c r="I33">
        <f t="shared" si="1"/>
        <v>56</v>
      </c>
      <c r="J33" s="61">
        <v>0</v>
      </c>
      <c r="K33">
        <f t="shared" si="2"/>
        <v>0</v>
      </c>
      <c r="L33" s="62">
        <v>4</v>
      </c>
      <c r="M33">
        <f t="shared" si="3"/>
        <v>74</v>
      </c>
      <c r="N33" t="str">
        <v>URBAN</v>
      </c>
      <c r="O33">
        <v>2</v>
      </c>
    </row>
    <row r="34" spans="1:16" ht="15.95">
      <c r="A34" t="str">
        <v>KB</v>
      </c>
      <c r="B34" t="str">
        <v>F.KB.13</v>
      </c>
      <c r="C34" s="49" t="str">
        <v>F</v>
      </c>
      <c r="D34">
        <v>3.6500000000000199E-2</v>
      </c>
      <c r="E34" s="1">
        <v>46076</v>
      </c>
      <c r="F34">
        <v>6</v>
      </c>
      <c r="G34">
        <f t="shared" ref="G34:G65" si="4">QUOTIENT(F34,D34)</f>
        <v>164</v>
      </c>
      <c r="H34" s="60">
        <v>2</v>
      </c>
      <c r="I34">
        <f t="shared" ref="I34:I65" si="5">QUOTIENT(H34,D34)</f>
        <v>54</v>
      </c>
      <c r="J34" s="61">
        <v>3</v>
      </c>
      <c r="K34">
        <f t="shared" ref="K34:K65" si="6">QUOTIENT(J34,D34)</f>
        <v>82</v>
      </c>
      <c r="L34" s="62">
        <v>1</v>
      </c>
      <c r="M34">
        <f t="shared" ref="M34:M65" si="7">QUOTIENT(L34,D34)</f>
        <v>27</v>
      </c>
      <c r="N34" t="str">
        <v>URBAN</v>
      </c>
      <c r="O34">
        <v>2</v>
      </c>
    </row>
    <row r="35" spans="1:16" ht="15.95">
      <c r="A35" t="str">
        <v>KB</v>
      </c>
      <c r="B35" t="str">
        <v>F.KB.14</v>
      </c>
      <c r="C35" s="49" t="str">
        <v>F</v>
      </c>
      <c r="D35">
        <v>6.25E-2</v>
      </c>
      <c r="E35" s="1">
        <v>46076</v>
      </c>
      <c r="F35">
        <v>5</v>
      </c>
      <c r="G35">
        <f t="shared" si="4"/>
        <v>80</v>
      </c>
      <c r="H35" s="60">
        <v>1</v>
      </c>
      <c r="I35">
        <f t="shared" si="5"/>
        <v>16</v>
      </c>
      <c r="J35" s="61">
        <v>0</v>
      </c>
      <c r="K35">
        <f t="shared" si="6"/>
        <v>0</v>
      </c>
      <c r="L35" s="62">
        <v>4</v>
      </c>
      <c r="M35">
        <f t="shared" si="7"/>
        <v>64</v>
      </c>
      <c r="N35" t="str">
        <v>URBAN</v>
      </c>
      <c r="O35">
        <v>2</v>
      </c>
    </row>
    <row r="36" spans="1:16" ht="15.95">
      <c r="A36" t="str">
        <v>KB</v>
      </c>
      <c r="B36" t="str">
        <v>F.KB.15</v>
      </c>
      <c r="C36" s="49" t="str">
        <v>F</v>
      </c>
      <c r="D36">
        <v>4.4000000000004036E-3</v>
      </c>
      <c r="E36" s="1">
        <v>46079</v>
      </c>
      <c r="F36">
        <v>8</v>
      </c>
      <c r="G36">
        <f t="shared" si="4"/>
        <v>1818</v>
      </c>
      <c r="H36" s="60">
        <v>6</v>
      </c>
      <c r="I36">
        <f t="shared" si="5"/>
        <v>1363</v>
      </c>
      <c r="J36" s="61">
        <v>1</v>
      </c>
      <c r="K36">
        <f t="shared" si="6"/>
        <v>227</v>
      </c>
      <c r="L36" s="62">
        <v>1</v>
      </c>
      <c r="M36">
        <f t="shared" si="7"/>
        <v>227</v>
      </c>
      <c r="N36" t="str">
        <v>URBAN</v>
      </c>
      <c r="O36">
        <v>2</v>
      </c>
      <c r="P36" t="s">
        <v>150</v>
      </c>
    </row>
    <row r="37" spans="1:16" ht="15.95">
      <c r="A37" t="str">
        <v>KB</v>
      </c>
      <c r="B37" t="str">
        <v>F.KB.16</v>
      </c>
      <c r="C37" s="49" t="str">
        <v>F</v>
      </c>
      <c r="D37">
        <v>3.7100000000002353E-2</v>
      </c>
      <c r="E37" s="1">
        <v>46079</v>
      </c>
      <c r="F37">
        <v>10</v>
      </c>
      <c r="G37">
        <f t="shared" si="4"/>
        <v>269</v>
      </c>
      <c r="H37" s="60">
        <v>5</v>
      </c>
      <c r="I37">
        <f t="shared" si="5"/>
        <v>134</v>
      </c>
      <c r="J37" s="61">
        <v>2</v>
      </c>
      <c r="K37">
        <f t="shared" si="6"/>
        <v>53</v>
      </c>
      <c r="L37" s="62">
        <v>3</v>
      </c>
      <c r="M37">
        <f t="shared" si="7"/>
        <v>80</v>
      </c>
      <c r="N37" t="str">
        <v>URBAN</v>
      </c>
      <c r="O37">
        <v>2</v>
      </c>
    </row>
    <row r="38" spans="1:16" ht="15.95">
      <c r="A38" t="str">
        <v>KB</v>
      </c>
      <c r="B38" t="str">
        <v>F.KB.17</v>
      </c>
      <c r="C38" s="49" t="str">
        <v>F</v>
      </c>
      <c r="D38">
        <v>4.6399999999998442E-2</v>
      </c>
      <c r="E38" s="1">
        <v>46076</v>
      </c>
      <c r="F38">
        <v>4</v>
      </c>
      <c r="G38">
        <f t="shared" si="4"/>
        <v>86</v>
      </c>
      <c r="H38" s="60">
        <v>3</v>
      </c>
      <c r="I38">
        <f t="shared" si="5"/>
        <v>64</v>
      </c>
      <c r="J38" s="61">
        <v>0</v>
      </c>
      <c r="K38">
        <f t="shared" si="6"/>
        <v>0</v>
      </c>
      <c r="L38" s="62">
        <v>1</v>
      </c>
      <c r="M38">
        <f t="shared" si="7"/>
        <v>21</v>
      </c>
      <c r="N38" t="str">
        <v>URBAN</v>
      </c>
      <c r="O38">
        <v>2</v>
      </c>
    </row>
    <row r="39" spans="1:16" ht="15.95">
      <c r="A39" t="str">
        <v>KB</v>
      </c>
      <c r="B39" t="str">
        <v>F.KB.18</v>
      </c>
      <c r="C39" s="49" t="str">
        <v>F</v>
      </c>
      <c r="D39">
        <v>3.8000000000000256E-2</v>
      </c>
      <c r="E39" s="1">
        <v>46080</v>
      </c>
      <c r="F39">
        <v>9</v>
      </c>
      <c r="G39">
        <f t="shared" si="4"/>
        <v>236</v>
      </c>
      <c r="H39" s="60">
        <v>4</v>
      </c>
      <c r="I39">
        <f t="shared" si="5"/>
        <v>105</v>
      </c>
      <c r="J39" s="61">
        <v>1</v>
      </c>
      <c r="K39">
        <f t="shared" si="6"/>
        <v>26</v>
      </c>
      <c r="L39" s="62">
        <v>4</v>
      </c>
      <c r="M39">
        <f t="shared" si="7"/>
        <v>105</v>
      </c>
      <c r="N39" t="str">
        <v>URBAN</v>
      </c>
      <c r="O39">
        <v>2</v>
      </c>
    </row>
    <row r="40" spans="1:16" ht="15.95">
      <c r="A40" t="str">
        <v>KB</v>
      </c>
      <c r="B40" t="str">
        <v>F.KB.19</v>
      </c>
      <c r="C40" s="49" t="str">
        <v>F</v>
      </c>
      <c r="D40">
        <v>1.6700000000000159E-2</v>
      </c>
      <c r="E40" s="1">
        <v>46080</v>
      </c>
      <c r="F40">
        <v>6</v>
      </c>
      <c r="G40">
        <f t="shared" si="4"/>
        <v>359</v>
      </c>
      <c r="H40" s="60">
        <v>1</v>
      </c>
      <c r="I40">
        <f t="shared" si="5"/>
        <v>59</v>
      </c>
      <c r="J40" s="61">
        <v>3</v>
      </c>
      <c r="K40">
        <f t="shared" si="6"/>
        <v>179</v>
      </c>
      <c r="L40" s="62">
        <v>2</v>
      </c>
      <c r="M40">
        <f t="shared" si="7"/>
        <v>119</v>
      </c>
      <c r="N40" t="str">
        <v>URBAN</v>
      </c>
      <c r="O40">
        <v>2</v>
      </c>
      <c r="P40" s="57"/>
    </row>
    <row r="41" spans="1:16" ht="15.95">
      <c r="A41" t="str">
        <v>KB</v>
      </c>
      <c r="B41" t="str">
        <v>F.KB.20</v>
      </c>
      <c r="C41" s="49" t="str">
        <v>F</v>
      </c>
      <c r="D41">
        <v>3.5999999999999588E-2</v>
      </c>
      <c r="E41" s="1">
        <v>46080</v>
      </c>
      <c r="F41">
        <v>5</v>
      </c>
      <c r="G41">
        <f t="shared" si="4"/>
        <v>138</v>
      </c>
      <c r="H41" s="60">
        <v>0</v>
      </c>
      <c r="I41">
        <f t="shared" si="5"/>
        <v>0</v>
      </c>
      <c r="J41" s="61">
        <v>0</v>
      </c>
      <c r="K41">
        <f t="shared" si="6"/>
        <v>0</v>
      </c>
      <c r="L41" s="62">
        <v>5</v>
      </c>
      <c r="M41">
        <f t="shared" si="7"/>
        <v>138</v>
      </c>
      <c r="N41" t="str">
        <v>URBAN</v>
      </c>
      <c r="O41">
        <v>2</v>
      </c>
    </row>
    <row r="42" spans="1:16" ht="15.95">
      <c r="A42" t="str">
        <v>EB</v>
      </c>
      <c r="B42" t="str">
        <v>M.EB.1</v>
      </c>
      <c r="C42" s="50" t="str">
        <v>M</v>
      </c>
      <c r="D42">
        <v>2.5999999999999801E-2</v>
      </c>
      <c r="E42" s="1">
        <v>46080</v>
      </c>
      <c r="F42">
        <v>23</v>
      </c>
      <c r="G42">
        <f t="shared" si="4"/>
        <v>884</v>
      </c>
      <c r="H42" s="60">
        <v>8</v>
      </c>
      <c r="I42">
        <f t="shared" si="5"/>
        <v>307</v>
      </c>
      <c r="J42" s="61">
        <v>10</v>
      </c>
      <c r="K42">
        <f t="shared" si="6"/>
        <v>384</v>
      </c>
      <c r="L42" s="62">
        <v>5</v>
      </c>
      <c r="M42">
        <f t="shared" si="7"/>
        <v>192</v>
      </c>
      <c r="N42" t="str">
        <v>URBAN</v>
      </c>
      <c r="O42">
        <v>3</v>
      </c>
    </row>
    <row r="43" spans="1:16" ht="15.95">
      <c r="A43" t="str">
        <v>EB</v>
      </c>
      <c r="B43" t="str">
        <v>M.EB.2</v>
      </c>
      <c r="C43" s="50" t="str">
        <v>M</v>
      </c>
      <c r="D43">
        <v>4.9699999999999633E-2</v>
      </c>
      <c r="E43" s="1">
        <v>46080</v>
      </c>
      <c r="F43">
        <v>8</v>
      </c>
      <c r="G43">
        <f t="shared" si="4"/>
        <v>160</v>
      </c>
      <c r="H43" s="60">
        <v>6</v>
      </c>
      <c r="I43">
        <f t="shared" si="5"/>
        <v>120</v>
      </c>
      <c r="J43" s="61">
        <v>2</v>
      </c>
      <c r="K43">
        <f t="shared" si="6"/>
        <v>40</v>
      </c>
      <c r="L43" s="62">
        <v>0</v>
      </c>
      <c r="M43">
        <f t="shared" si="7"/>
        <v>0</v>
      </c>
      <c r="N43" t="str">
        <v>URBAN</v>
      </c>
      <c r="O43">
        <v>3</v>
      </c>
    </row>
    <row r="44" spans="1:16" ht="15.95">
      <c r="A44" t="str">
        <v>EB</v>
      </c>
      <c r="B44" t="str">
        <v>M.EB.3</v>
      </c>
      <c r="C44" s="50" t="str">
        <v>M</v>
      </c>
      <c r="D44">
        <v>2.9699999999999172E-2</v>
      </c>
      <c r="E44" s="1">
        <v>46080</v>
      </c>
      <c r="F44">
        <v>11</v>
      </c>
      <c r="G44">
        <f t="shared" si="4"/>
        <v>370</v>
      </c>
      <c r="H44" s="60">
        <v>6</v>
      </c>
      <c r="I44">
        <f t="shared" si="5"/>
        <v>202</v>
      </c>
      <c r="J44" s="61">
        <v>2</v>
      </c>
      <c r="K44">
        <f t="shared" si="6"/>
        <v>67</v>
      </c>
      <c r="L44" s="62">
        <v>3</v>
      </c>
      <c r="M44">
        <f t="shared" si="7"/>
        <v>101</v>
      </c>
      <c r="N44" t="str">
        <v>URBAN</v>
      </c>
      <c r="O44">
        <v>3</v>
      </c>
    </row>
    <row r="45" spans="1:16" ht="15.95">
      <c r="A45" t="str">
        <v>EB</v>
      </c>
      <c r="B45" t="str">
        <v>M.EB.4</v>
      </c>
      <c r="C45" s="50" t="str">
        <v>M</v>
      </c>
      <c r="D45">
        <v>1.839999999999975E-2</v>
      </c>
      <c r="E45" s="1">
        <v>46080</v>
      </c>
      <c r="F45">
        <v>7</v>
      </c>
      <c r="G45">
        <f t="shared" si="4"/>
        <v>380</v>
      </c>
      <c r="H45" s="60">
        <v>5</v>
      </c>
      <c r="I45">
        <f t="shared" si="5"/>
        <v>271</v>
      </c>
      <c r="J45" s="61">
        <v>2</v>
      </c>
      <c r="K45">
        <f t="shared" si="6"/>
        <v>108</v>
      </c>
      <c r="L45" s="62">
        <v>0</v>
      </c>
      <c r="M45">
        <f t="shared" si="7"/>
        <v>0</v>
      </c>
      <c r="N45" t="str">
        <v>URBAN</v>
      </c>
      <c r="O45">
        <v>3</v>
      </c>
    </row>
    <row r="46" spans="1:16" ht="15.95">
      <c r="A46" t="str">
        <v>EB</v>
      </c>
      <c r="B46" t="str">
        <v>M.EB.5</v>
      </c>
      <c r="C46" s="50" t="str">
        <v>M</v>
      </c>
      <c r="D46">
        <v>3.7599999999999412E-2</v>
      </c>
      <c r="E46" s="1">
        <v>46080</v>
      </c>
      <c r="F46">
        <v>6</v>
      </c>
      <c r="G46">
        <f t="shared" si="4"/>
        <v>159</v>
      </c>
      <c r="H46" s="60">
        <v>3</v>
      </c>
      <c r="I46">
        <f t="shared" si="5"/>
        <v>79</v>
      </c>
      <c r="J46" s="61">
        <v>2</v>
      </c>
      <c r="K46">
        <f t="shared" si="6"/>
        <v>53</v>
      </c>
      <c r="L46" s="62">
        <v>1</v>
      </c>
      <c r="M46">
        <f t="shared" si="7"/>
        <v>26</v>
      </c>
      <c r="N46" t="str">
        <v>URBAN</v>
      </c>
      <c r="O46">
        <v>3</v>
      </c>
    </row>
    <row r="47" spans="1:16" ht="15.95">
      <c r="A47" t="str">
        <v>EB</v>
      </c>
      <c r="B47" t="str">
        <v>M.EB.6</v>
      </c>
      <c r="C47" s="50" t="str">
        <v>M</v>
      </c>
      <c r="D47">
        <v>1.3699999999999157E-2</v>
      </c>
      <c r="E47" s="1">
        <v>46080</v>
      </c>
      <c r="F47">
        <v>10</v>
      </c>
      <c r="G47">
        <f t="shared" si="4"/>
        <v>729</v>
      </c>
      <c r="H47" s="60">
        <v>4</v>
      </c>
      <c r="I47">
        <f t="shared" si="5"/>
        <v>291</v>
      </c>
      <c r="J47" s="61">
        <v>4</v>
      </c>
      <c r="K47">
        <f t="shared" si="6"/>
        <v>291</v>
      </c>
      <c r="L47" s="62">
        <v>2</v>
      </c>
      <c r="M47">
        <f t="shared" si="7"/>
        <v>145</v>
      </c>
      <c r="N47" t="str">
        <v>URBAN</v>
      </c>
      <c r="O47">
        <v>3</v>
      </c>
    </row>
    <row r="48" spans="1:16" ht="15.95">
      <c r="A48" t="str">
        <v>EB</v>
      </c>
      <c r="B48" t="str">
        <v>M.EB.7</v>
      </c>
      <c r="C48" s="50" t="str">
        <v>M</v>
      </c>
      <c r="D48">
        <v>2.5299999999999656E-2</v>
      </c>
      <c r="E48" s="1">
        <v>46081</v>
      </c>
      <c r="F48">
        <v>4</v>
      </c>
      <c r="G48">
        <f t="shared" si="4"/>
        <v>158</v>
      </c>
      <c r="H48" s="60">
        <v>2</v>
      </c>
      <c r="I48">
        <f t="shared" si="5"/>
        <v>79</v>
      </c>
      <c r="J48" s="61">
        <v>2</v>
      </c>
      <c r="K48">
        <f t="shared" si="6"/>
        <v>79</v>
      </c>
      <c r="L48" s="62">
        <v>0</v>
      </c>
      <c r="M48">
        <f t="shared" si="7"/>
        <v>0</v>
      </c>
      <c r="N48" t="str">
        <v>URBAN</v>
      </c>
      <c r="O48">
        <v>3</v>
      </c>
    </row>
    <row r="49" spans="1:15" ht="15.95">
      <c r="A49" t="str">
        <v>EB</v>
      </c>
      <c r="B49" t="str">
        <v>M.EB.8</v>
      </c>
      <c r="C49" s="50" t="str">
        <v>M</v>
      </c>
      <c r="D49">
        <v>2.0500000000000185E-2</v>
      </c>
      <c r="E49" s="1">
        <v>46081</v>
      </c>
      <c r="F49">
        <v>5</v>
      </c>
      <c r="G49">
        <f t="shared" si="4"/>
        <v>243</v>
      </c>
      <c r="H49" s="60">
        <v>2</v>
      </c>
      <c r="I49">
        <f t="shared" si="5"/>
        <v>97</v>
      </c>
      <c r="J49" s="61">
        <v>2</v>
      </c>
      <c r="K49">
        <f t="shared" si="6"/>
        <v>97</v>
      </c>
      <c r="L49" s="62">
        <v>1</v>
      </c>
      <c r="M49">
        <f t="shared" si="7"/>
        <v>48</v>
      </c>
      <c r="N49" t="str">
        <v>URBAN</v>
      </c>
      <c r="O49">
        <v>3</v>
      </c>
    </row>
    <row r="50" spans="1:15" ht="15.95">
      <c r="A50" t="str">
        <v>EB</v>
      </c>
      <c r="B50" t="str">
        <v>M.EB.9</v>
      </c>
      <c r="C50" s="50" t="str">
        <v>M</v>
      </c>
      <c r="D50">
        <v>2.9899999999999594E-2</v>
      </c>
      <c r="E50" s="1">
        <v>46081</v>
      </c>
      <c r="F50">
        <v>11</v>
      </c>
      <c r="G50">
        <f t="shared" si="4"/>
        <v>367</v>
      </c>
      <c r="H50" s="60">
        <v>6</v>
      </c>
      <c r="I50">
        <f t="shared" si="5"/>
        <v>200</v>
      </c>
      <c r="J50" s="61">
        <v>4</v>
      </c>
      <c r="K50">
        <f t="shared" si="6"/>
        <v>133</v>
      </c>
      <c r="L50" s="62">
        <v>1</v>
      </c>
      <c r="M50">
        <f t="shared" si="7"/>
        <v>33</v>
      </c>
      <c r="N50" t="str">
        <v>URBAN</v>
      </c>
      <c r="O50">
        <v>3</v>
      </c>
    </row>
    <row r="51" spans="1:15" ht="15.95">
      <c r="A51" t="str">
        <v>EB</v>
      </c>
      <c r="B51" t="str">
        <v>M.EB.10</v>
      </c>
      <c r="C51" s="50" t="str">
        <v>M</v>
      </c>
      <c r="D51">
        <v>5.2100000000000257E-2</v>
      </c>
      <c r="E51" s="1">
        <v>46081</v>
      </c>
      <c r="F51">
        <v>11</v>
      </c>
      <c r="G51">
        <f t="shared" si="4"/>
        <v>211</v>
      </c>
      <c r="H51" s="60">
        <v>10</v>
      </c>
      <c r="I51">
        <f t="shared" si="5"/>
        <v>191</v>
      </c>
      <c r="J51" s="61">
        <v>1</v>
      </c>
      <c r="K51">
        <f t="shared" si="6"/>
        <v>19</v>
      </c>
      <c r="L51" s="62">
        <v>0</v>
      </c>
      <c r="M51">
        <f t="shared" si="7"/>
        <v>0</v>
      </c>
      <c r="N51" t="str">
        <v>URBAN</v>
      </c>
      <c r="O51">
        <v>3</v>
      </c>
    </row>
    <row r="52" spans="1:15" ht="15.95">
      <c r="A52" t="str">
        <v>EB</v>
      </c>
      <c r="B52" t="str">
        <v>F.EB.11</v>
      </c>
      <c r="C52" s="49" t="str">
        <v>F</v>
      </c>
      <c r="D52">
        <v>3.3900000000000041E-2</v>
      </c>
      <c r="E52" s="1">
        <v>46081</v>
      </c>
      <c r="F52">
        <v>18</v>
      </c>
      <c r="G52">
        <f t="shared" si="4"/>
        <v>530</v>
      </c>
      <c r="H52" s="60">
        <v>2</v>
      </c>
      <c r="I52">
        <f t="shared" si="5"/>
        <v>58</v>
      </c>
      <c r="J52" s="61">
        <v>11</v>
      </c>
      <c r="K52">
        <f t="shared" si="6"/>
        <v>324</v>
      </c>
      <c r="L52" s="62">
        <v>5</v>
      </c>
      <c r="M52">
        <f t="shared" si="7"/>
        <v>147</v>
      </c>
      <c r="N52" t="str">
        <v>URBAN</v>
      </c>
      <c r="O52">
        <v>3</v>
      </c>
    </row>
    <row r="53" spans="1:15" ht="15.95">
      <c r="A53" t="str">
        <v>EB</v>
      </c>
      <c r="B53" t="str">
        <v>F.EB.12</v>
      </c>
      <c r="C53" s="49" t="str">
        <v>F</v>
      </c>
      <c r="D53">
        <v>1.3899999999999579E-2</v>
      </c>
      <c r="E53" s="1">
        <v>46081</v>
      </c>
      <c r="F53">
        <v>5</v>
      </c>
      <c r="G53">
        <f t="shared" si="4"/>
        <v>359</v>
      </c>
      <c r="H53" s="60">
        <v>4</v>
      </c>
      <c r="I53">
        <f t="shared" si="5"/>
        <v>287</v>
      </c>
      <c r="J53" s="61">
        <v>1</v>
      </c>
      <c r="K53">
        <f t="shared" si="6"/>
        <v>71</v>
      </c>
      <c r="L53" s="62">
        <v>0</v>
      </c>
      <c r="M53">
        <f t="shared" si="7"/>
        <v>0</v>
      </c>
      <c r="N53" t="str">
        <v>URBAN</v>
      </c>
      <c r="O53">
        <v>3</v>
      </c>
    </row>
    <row r="54" spans="1:15" ht="15.95">
      <c r="A54" t="str">
        <v>EB</v>
      </c>
      <c r="B54" t="str">
        <v>F.EB.13</v>
      </c>
      <c r="C54" s="49" t="str">
        <v>F</v>
      </c>
      <c r="D54">
        <v>4.5300000000000118E-2</v>
      </c>
      <c r="E54" s="1">
        <v>46083</v>
      </c>
      <c r="F54">
        <f>SUM(H54,J54,L54)</f>
        <v>6</v>
      </c>
      <c r="G54">
        <f t="shared" si="4"/>
        <v>132</v>
      </c>
      <c r="H54" s="60">
        <v>3</v>
      </c>
      <c r="I54">
        <f t="shared" si="5"/>
        <v>66</v>
      </c>
      <c r="J54" s="61">
        <v>2</v>
      </c>
      <c r="K54">
        <f t="shared" si="6"/>
        <v>44</v>
      </c>
      <c r="L54" s="62">
        <v>1</v>
      </c>
      <c r="M54">
        <f t="shared" si="7"/>
        <v>22</v>
      </c>
      <c r="N54" t="str">
        <v>URBAN</v>
      </c>
      <c r="O54">
        <v>3</v>
      </c>
    </row>
    <row r="55" spans="1:15" ht="15.95">
      <c r="A55" t="str">
        <v>EB</v>
      </c>
      <c r="B55" t="str">
        <v>F.EB.14</v>
      </c>
      <c r="C55" s="49" t="str">
        <v>F</v>
      </c>
      <c r="D55">
        <v>2.0900000000000141E-2</v>
      </c>
      <c r="E55" s="1">
        <v>46083</v>
      </c>
      <c r="F55">
        <f t="shared" ref="F55:F56" si="8">SUM(H55,J55,L55)</f>
        <v>7</v>
      </c>
      <c r="G55">
        <f t="shared" si="4"/>
        <v>334</v>
      </c>
      <c r="H55" s="60">
        <v>5</v>
      </c>
      <c r="I55">
        <f t="shared" si="5"/>
        <v>239</v>
      </c>
      <c r="J55" s="61">
        <v>1</v>
      </c>
      <c r="K55">
        <f t="shared" si="6"/>
        <v>47</v>
      </c>
      <c r="L55" s="62">
        <v>1</v>
      </c>
      <c r="M55">
        <f t="shared" si="7"/>
        <v>47</v>
      </c>
      <c r="N55" t="str">
        <v>URBAN</v>
      </c>
      <c r="O55">
        <v>3</v>
      </c>
    </row>
    <row r="56" spans="1:15" ht="15.95">
      <c r="A56" t="str">
        <v>EB</v>
      </c>
      <c r="B56" t="str">
        <v>F.EB.15</v>
      </c>
      <c r="C56" s="49" t="str">
        <v>F</v>
      </c>
      <c r="D56">
        <v>1.7400000000000304E-2</v>
      </c>
      <c r="E56" s="1">
        <v>46084</v>
      </c>
      <c r="F56">
        <f t="shared" si="8"/>
        <v>8</v>
      </c>
      <c r="G56">
        <f t="shared" si="4"/>
        <v>459</v>
      </c>
      <c r="H56" s="60">
        <v>3</v>
      </c>
      <c r="I56">
        <f t="shared" si="5"/>
        <v>172</v>
      </c>
      <c r="J56" s="61">
        <v>2</v>
      </c>
      <c r="K56">
        <f t="shared" si="6"/>
        <v>114</v>
      </c>
      <c r="L56" s="62">
        <v>3</v>
      </c>
      <c r="M56">
        <f t="shared" si="7"/>
        <v>172</v>
      </c>
      <c r="N56" t="str">
        <v>URBAN</v>
      </c>
      <c r="O56">
        <v>3</v>
      </c>
    </row>
    <row r="57" spans="1:15" ht="15.95">
      <c r="A57" t="str">
        <v>EB</v>
      </c>
      <c r="B57" t="str">
        <v>F.EB.16</v>
      </c>
      <c r="C57" s="49" t="str">
        <v>F</v>
      </c>
      <c r="D57">
        <v>3.0399999999999316E-2</v>
      </c>
      <c r="E57" s="1">
        <v>46084</v>
      </c>
      <c r="F57">
        <f>SUM(H57,J57,L57)</f>
        <v>13</v>
      </c>
      <c r="G57">
        <f t="shared" si="4"/>
        <v>427</v>
      </c>
      <c r="H57" s="60">
        <v>13</v>
      </c>
      <c r="I57">
        <f t="shared" si="5"/>
        <v>427</v>
      </c>
      <c r="J57" s="61">
        <v>0</v>
      </c>
      <c r="K57">
        <f t="shared" si="6"/>
        <v>0</v>
      </c>
      <c r="L57" s="62">
        <v>0</v>
      </c>
      <c r="M57">
        <f t="shared" si="7"/>
        <v>0</v>
      </c>
      <c r="N57" t="str">
        <v>URBAN</v>
      </c>
      <c r="O57">
        <v>3</v>
      </c>
    </row>
    <row r="58" spans="1:15" ht="15.95">
      <c r="A58" t="str">
        <v>EB</v>
      </c>
      <c r="B58" t="str">
        <v>F.EB.17</v>
      </c>
      <c r="C58" s="49" t="str">
        <v>F</v>
      </c>
      <c r="D58">
        <v>2.5300000000000544E-2</v>
      </c>
      <c r="E58" s="1">
        <v>46080</v>
      </c>
      <c r="F58">
        <v>12</v>
      </c>
      <c r="G58">
        <f t="shared" si="4"/>
        <v>474</v>
      </c>
      <c r="H58" s="60">
        <v>5</v>
      </c>
      <c r="I58">
        <f t="shared" si="5"/>
        <v>197</v>
      </c>
      <c r="J58" s="61">
        <v>2</v>
      </c>
      <c r="K58">
        <f t="shared" si="6"/>
        <v>79</v>
      </c>
      <c r="L58" s="62">
        <v>5</v>
      </c>
      <c r="M58">
        <f t="shared" si="7"/>
        <v>197</v>
      </c>
      <c r="N58" t="str">
        <v>URBAN</v>
      </c>
      <c r="O58">
        <v>3</v>
      </c>
    </row>
    <row r="59" spans="1:15" ht="15.95">
      <c r="A59" t="str">
        <v>EB</v>
      </c>
      <c r="B59" t="str">
        <v>F.EB.18</v>
      </c>
      <c r="C59" s="49" t="str">
        <v>F</v>
      </c>
      <c r="D59">
        <v>2.0699999999999719E-2</v>
      </c>
      <c r="E59" s="1">
        <v>46080</v>
      </c>
      <c r="F59">
        <v>7</v>
      </c>
      <c r="G59">
        <f t="shared" si="4"/>
        <v>338</v>
      </c>
      <c r="H59" s="60">
        <v>4</v>
      </c>
      <c r="I59">
        <f t="shared" si="5"/>
        <v>193</v>
      </c>
      <c r="J59" s="61">
        <v>1</v>
      </c>
      <c r="K59">
        <f t="shared" si="6"/>
        <v>48</v>
      </c>
      <c r="L59" s="62">
        <v>2</v>
      </c>
      <c r="M59">
        <f t="shared" si="7"/>
        <v>96</v>
      </c>
      <c r="N59" t="str">
        <v>URBAN</v>
      </c>
      <c r="O59">
        <v>3</v>
      </c>
    </row>
    <row r="60" spans="1:15" ht="15.95">
      <c r="A60" t="str">
        <v>EB</v>
      </c>
      <c r="B60" t="str">
        <v>F.EB.19</v>
      </c>
      <c r="C60" s="49" t="str">
        <v>F</v>
      </c>
      <c r="D60">
        <v>2.1900000000000475E-2</v>
      </c>
      <c r="E60" s="1">
        <v>46086</v>
      </c>
      <c r="F60">
        <f t="shared" ref="F60:F91" si="9">SUM(H60,J60,L60)</f>
        <v>4</v>
      </c>
      <c r="G60">
        <f t="shared" si="4"/>
        <v>182</v>
      </c>
      <c r="H60" s="60">
        <v>3</v>
      </c>
      <c r="I60">
        <f t="shared" si="5"/>
        <v>136</v>
      </c>
      <c r="J60" s="61">
        <v>1</v>
      </c>
      <c r="K60">
        <f t="shared" si="6"/>
        <v>45</v>
      </c>
      <c r="L60" s="62">
        <v>0</v>
      </c>
      <c r="M60">
        <f t="shared" si="7"/>
        <v>0</v>
      </c>
      <c r="N60" t="str">
        <v>URBAN</v>
      </c>
      <c r="O60">
        <v>3</v>
      </c>
    </row>
    <row r="61" spans="1:15" ht="15.95">
      <c r="A61" t="str">
        <v>EB</v>
      </c>
      <c r="B61" t="str">
        <v>F.EB.20</v>
      </c>
      <c r="C61" s="49" t="str">
        <v>F</v>
      </c>
      <c r="D61">
        <v>1.2199999999999989E-2</v>
      </c>
      <c r="E61" s="1">
        <v>46086</v>
      </c>
      <c r="F61">
        <f t="shared" si="9"/>
        <v>8</v>
      </c>
      <c r="G61">
        <f t="shared" si="4"/>
        <v>655</v>
      </c>
      <c r="H61" s="60">
        <v>2</v>
      </c>
      <c r="I61">
        <f t="shared" si="5"/>
        <v>163</v>
      </c>
      <c r="J61" s="61">
        <v>3</v>
      </c>
      <c r="K61">
        <f t="shared" si="6"/>
        <v>245</v>
      </c>
      <c r="L61" s="62">
        <v>3</v>
      </c>
      <c r="M61">
        <f t="shared" si="7"/>
        <v>245</v>
      </c>
      <c r="N61" t="str">
        <v>URBAN</v>
      </c>
      <c r="O61">
        <v>3</v>
      </c>
    </row>
    <row r="62" spans="1:15" ht="15.95">
      <c r="A62" t="str">
        <v>LB</v>
      </c>
      <c r="B62" t="str">
        <v>M.LB.1</v>
      </c>
      <c r="C62" s="50" t="str">
        <v>M</v>
      </c>
      <c r="D62">
        <v>5.3499999999999659E-2</v>
      </c>
      <c r="E62" s="1">
        <v>46093</v>
      </c>
      <c r="F62">
        <f t="shared" si="9"/>
        <v>5</v>
      </c>
      <c r="G62">
        <f t="shared" si="4"/>
        <v>93</v>
      </c>
      <c r="H62" s="60">
        <v>2</v>
      </c>
      <c r="I62">
        <f t="shared" si="5"/>
        <v>37</v>
      </c>
      <c r="J62" s="61">
        <v>2</v>
      </c>
      <c r="K62">
        <f t="shared" si="6"/>
        <v>37</v>
      </c>
      <c r="L62" s="62">
        <v>1</v>
      </c>
      <c r="M62">
        <f t="shared" si="7"/>
        <v>18</v>
      </c>
      <c r="N62" t="str">
        <v>NON</v>
      </c>
      <c r="O62">
        <v>1</v>
      </c>
    </row>
    <row r="63" spans="1:15" ht="15.95">
      <c r="A63" t="str">
        <v>LB</v>
      </c>
      <c r="B63" t="str">
        <v>M.LB.2</v>
      </c>
      <c r="C63" s="50" t="str">
        <v>M</v>
      </c>
      <c r="D63">
        <v>0.12909999999999755</v>
      </c>
      <c r="E63" s="1">
        <v>46093</v>
      </c>
      <c r="F63">
        <f t="shared" si="9"/>
        <v>7</v>
      </c>
      <c r="G63">
        <f t="shared" si="4"/>
        <v>54</v>
      </c>
      <c r="H63" s="60">
        <v>5</v>
      </c>
      <c r="I63">
        <f t="shared" si="5"/>
        <v>38</v>
      </c>
      <c r="J63" s="61">
        <v>1</v>
      </c>
      <c r="K63">
        <f t="shared" si="6"/>
        <v>7</v>
      </c>
      <c r="L63" s="62">
        <v>1</v>
      </c>
      <c r="M63">
        <f t="shared" si="7"/>
        <v>7</v>
      </c>
      <c r="N63" t="str">
        <v>NON</v>
      </c>
      <c r="O63">
        <v>1</v>
      </c>
    </row>
    <row r="64" spans="1:15" ht="15.95">
      <c r="A64" t="str">
        <v>LB</v>
      </c>
      <c r="B64" t="str">
        <v>M.LB.3</v>
      </c>
      <c r="C64" s="50" t="str">
        <v>M</v>
      </c>
      <c r="D64">
        <v>0.10440000000000182</v>
      </c>
      <c r="E64" s="1">
        <v>46093</v>
      </c>
      <c r="F64">
        <f t="shared" si="9"/>
        <v>9</v>
      </c>
      <c r="G64">
        <f t="shared" si="4"/>
        <v>86</v>
      </c>
      <c r="H64" s="60">
        <v>8</v>
      </c>
      <c r="I64">
        <f t="shared" si="5"/>
        <v>76</v>
      </c>
      <c r="J64" s="61">
        <v>1</v>
      </c>
      <c r="K64">
        <f t="shared" si="6"/>
        <v>9</v>
      </c>
      <c r="L64" s="62">
        <v>0</v>
      </c>
      <c r="M64">
        <f t="shared" si="7"/>
        <v>0</v>
      </c>
      <c r="N64" t="str">
        <v>NON</v>
      </c>
      <c r="O64">
        <v>1</v>
      </c>
    </row>
    <row r="65" spans="1:15" ht="15.95">
      <c r="A65" t="str">
        <v>LB</v>
      </c>
      <c r="B65" t="str">
        <v>M.LB.4</v>
      </c>
      <c r="C65" s="50" t="str">
        <v>M</v>
      </c>
      <c r="D65">
        <v>4.3599999999997863E-2</v>
      </c>
      <c r="E65" s="1">
        <v>46093</v>
      </c>
      <c r="F65">
        <f t="shared" si="9"/>
        <v>5</v>
      </c>
      <c r="G65">
        <f t="shared" si="4"/>
        <v>114</v>
      </c>
      <c r="H65" s="60">
        <v>4</v>
      </c>
      <c r="I65">
        <f t="shared" si="5"/>
        <v>91</v>
      </c>
      <c r="J65" s="61">
        <v>1</v>
      </c>
      <c r="K65">
        <f t="shared" si="6"/>
        <v>22</v>
      </c>
      <c r="L65" s="62">
        <v>0</v>
      </c>
      <c r="M65">
        <f t="shared" si="7"/>
        <v>0</v>
      </c>
      <c r="N65" t="str">
        <v>NON</v>
      </c>
      <c r="O65">
        <v>1</v>
      </c>
    </row>
    <row r="66" spans="1:15" ht="15.95">
      <c r="A66" t="str">
        <v>LB</v>
      </c>
      <c r="B66" t="str">
        <v>M.LB.5</v>
      </c>
      <c r="C66" s="50" t="str">
        <v>M</v>
      </c>
      <c r="D66">
        <v>5.9400000000000119E-2</v>
      </c>
      <c r="E66" s="1">
        <v>46093</v>
      </c>
      <c r="F66">
        <f t="shared" si="9"/>
        <v>10</v>
      </c>
      <c r="G66">
        <f t="shared" ref="G66:G97" si="10">QUOTIENT(F66,D66)</f>
        <v>168</v>
      </c>
      <c r="H66" s="60">
        <v>4</v>
      </c>
      <c r="I66">
        <f t="shared" ref="I66:I97" si="11">QUOTIENT(H66,D66)</f>
        <v>67</v>
      </c>
      <c r="J66" s="61">
        <v>3</v>
      </c>
      <c r="K66">
        <f t="shared" ref="K66:K97" si="12">QUOTIENT(J66,D66)</f>
        <v>50</v>
      </c>
      <c r="L66" s="62">
        <v>3</v>
      </c>
      <c r="M66">
        <f t="shared" ref="M66:M97" si="13">QUOTIENT(L66,D66)</f>
        <v>50</v>
      </c>
      <c r="N66" t="str">
        <v>NON</v>
      </c>
      <c r="O66">
        <v>1</v>
      </c>
    </row>
    <row r="67" spans="1:15" ht="15.95">
      <c r="A67" t="str">
        <v>LB</v>
      </c>
      <c r="B67" t="str">
        <v>M.LB.6</v>
      </c>
      <c r="C67" s="50" t="str">
        <v>M</v>
      </c>
      <c r="D67">
        <v>2.9699999999998283E-2</v>
      </c>
      <c r="E67" s="1">
        <v>46093</v>
      </c>
      <c r="F67">
        <f t="shared" si="9"/>
        <v>3</v>
      </c>
      <c r="G67">
        <f t="shared" si="10"/>
        <v>101</v>
      </c>
      <c r="H67" s="60">
        <v>2</v>
      </c>
      <c r="I67">
        <f t="shared" si="11"/>
        <v>67</v>
      </c>
      <c r="J67" s="61">
        <v>1</v>
      </c>
      <c r="K67">
        <f t="shared" si="12"/>
        <v>33</v>
      </c>
      <c r="L67" s="62">
        <v>0</v>
      </c>
      <c r="M67">
        <f t="shared" si="13"/>
        <v>0</v>
      </c>
      <c r="N67" t="str">
        <v>NON</v>
      </c>
      <c r="O67">
        <v>1</v>
      </c>
    </row>
    <row r="68" spans="1:15" ht="15.95">
      <c r="A68" t="str">
        <v>LB</v>
      </c>
      <c r="B68" t="str">
        <v>M.LB.7</v>
      </c>
      <c r="C68" s="50" t="str">
        <v>M</v>
      </c>
      <c r="D68">
        <v>2.5100000000001899E-2</v>
      </c>
      <c r="E68" s="1">
        <v>46093</v>
      </c>
      <c r="F68">
        <f t="shared" si="9"/>
        <v>5</v>
      </c>
      <c r="G68">
        <f t="shared" si="10"/>
        <v>199</v>
      </c>
      <c r="H68" s="60">
        <v>5</v>
      </c>
      <c r="I68">
        <f t="shared" si="11"/>
        <v>199</v>
      </c>
      <c r="J68" s="61">
        <v>0</v>
      </c>
      <c r="K68">
        <f t="shared" si="12"/>
        <v>0</v>
      </c>
      <c r="L68" s="62">
        <v>0</v>
      </c>
      <c r="M68">
        <f t="shared" si="13"/>
        <v>0</v>
      </c>
      <c r="N68" t="str">
        <v>NON</v>
      </c>
      <c r="O68">
        <v>1</v>
      </c>
    </row>
    <row r="69" spans="1:15" ht="15.95">
      <c r="A69" t="str">
        <v>LB</v>
      </c>
      <c r="B69" t="str">
        <v>M.LB.8</v>
      </c>
      <c r="C69" s="50" t="str">
        <v>M</v>
      </c>
      <c r="D69">
        <v>6.7000000000000171E-2</v>
      </c>
      <c r="E69" s="1">
        <v>46093</v>
      </c>
      <c r="F69">
        <f t="shared" si="9"/>
        <v>11</v>
      </c>
      <c r="G69">
        <f t="shared" si="10"/>
        <v>164</v>
      </c>
      <c r="H69" s="60">
        <v>8</v>
      </c>
      <c r="I69">
        <f t="shared" si="11"/>
        <v>119</v>
      </c>
      <c r="J69" s="61">
        <v>2</v>
      </c>
      <c r="K69">
        <f t="shared" si="12"/>
        <v>29</v>
      </c>
      <c r="L69" s="62">
        <v>1</v>
      </c>
      <c r="M69">
        <f t="shared" si="13"/>
        <v>14</v>
      </c>
      <c r="N69" t="str">
        <v>NON</v>
      </c>
      <c r="O69">
        <v>1</v>
      </c>
    </row>
    <row r="70" spans="1:15" ht="15.95">
      <c r="A70" t="str">
        <v>LB</v>
      </c>
      <c r="B70" t="str">
        <v>M.LB.9</v>
      </c>
      <c r="C70" s="50" t="str">
        <v>M</v>
      </c>
      <c r="D70">
        <v>4.9600000000001643E-2</v>
      </c>
      <c r="E70" s="1">
        <v>46093</v>
      </c>
      <c r="F70">
        <f t="shared" si="9"/>
        <v>13</v>
      </c>
      <c r="G70">
        <f t="shared" si="10"/>
        <v>262</v>
      </c>
      <c r="H70" s="60">
        <v>7</v>
      </c>
      <c r="I70">
        <f t="shared" si="11"/>
        <v>141</v>
      </c>
      <c r="J70" s="61">
        <v>5</v>
      </c>
      <c r="K70">
        <f t="shared" si="12"/>
        <v>100</v>
      </c>
      <c r="L70" s="62">
        <v>1</v>
      </c>
      <c r="M70">
        <f t="shared" si="13"/>
        <v>20</v>
      </c>
      <c r="N70" t="str">
        <v>NON</v>
      </c>
      <c r="O70">
        <v>1</v>
      </c>
    </row>
    <row r="71" spans="1:15" ht="15.95">
      <c r="A71" t="str">
        <v>LB</v>
      </c>
      <c r="B71" t="str">
        <v>M.LB.10</v>
      </c>
      <c r="C71" s="50" t="str">
        <v>M</v>
      </c>
      <c r="D71">
        <v>6.7700000000000315E-2</v>
      </c>
      <c r="E71" s="1">
        <v>46093</v>
      </c>
      <c r="F71">
        <f t="shared" si="9"/>
        <v>11</v>
      </c>
      <c r="G71">
        <f t="shared" si="10"/>
        <v>162</v>
      </c>
      <c r="H71" s="60">
        <v>3</v>
      </c>
      <c r="I71">
        <f t="shared" si="11"/>
        <v>44</v>
      </c>
      <c r="J71" s="61">
        <v>2</v>
      </c>
      <c r="K71">
        <f t="shared" si="12"/>
        <v>29</v>
      </c>
      <c r="L71" s="62">
        <v>6</v>
      </c>
      <c r="M71">
        <f t="shared" si="13"/>
        <v>88</v>
      </c>
      <c r="N71" t="str">
        <v>NON</v>
      </c>
      <c r="O71">
        <v>1</v>
      </c>
    </row>
    <row r="72" spans="1:15" ht="15.95">
      <c r="A72" t="str">
        <v>LB</v>
      </c>
      <c r="B72" t="str">
        <v>F.LB.11</v>
      </c>
      <c r="C72" s="49" t="str">
        <v>F</v>
      </c>
      <c r="D72">
        <v>5.2799999999997738E-2</v>
      </c>
      <c r="E72" s="1">
        <v>46088</v>
      </c>
      <c r="F72">
        <f t="shared" si="9"/>
        <v>7</v>
      </c>
      <c r="G72">
        <f t="shared" si="10"/>
        <v>132</v>
      </c>
      <c r="H72" s="60">
        <v>4</v>
      </c>
      <c r="I72">
        <f t="shared" si="11"/>
        <v>75</v>
      </c>
      <c r="J72" s="61">
        <v>3</v>
      </c>
      <c r="K72">
        <f t="shared" si="12"/>
        <v>56</v>
      </c>
      <c r="L72" s="62">
        <v>0</v>
      </c>
      <c r="M72">
        <f t="shared" si="13"/>
        <v>0</v>
      </c>
      <c r="N72" t="str">
        <v>NON</v>
      </c>
      <c r="O72">
        <v>1</v>
      </c>
    </row>
    <row r="73" spans="1:15" ht="15.95">
      <c r="A73" t="str">
        <v>LB</v>
      </c>
      <c r="B73" t="str">
        <v>F.LB.12</v>
      </c>
      <c r="C73" s="49" t="str">
        <v>F</v>
      </c>
      <c r="D73">
        <v>7.7899999999999636E-2</v>
      </c>
      <c r="E73" s="1">
        <v>46089</v>
      </c>
      <c r="F73">
        <f t="shared" si="9"/>
        <v>7</v>
      </c>
      <c r="G73">
        <f t="shared" si="10"/>
        <v>89</v>
      </c>
      <c r="H73" s="60">
        <v>5</v>
      </c>
      <c r="I73">
        <f t="shared" si="11"/>
        <v>64</v>
      </c>
      <c r="J73" s="61">
        <v>2</v>
      </c>
      <c r="K73">
        <f t="shared" si="12"/>
        <v>25</v>
      </c>
      <c r="L73" s="62">
        <v>0</v>
      </c>
      <c r="M73">
        <f t="shared" si="13"/>
        <v>0</v>
      </c>
      <c r="N73" t="str">
        <v>NON</v>
      </c>
      <c r="O73">
        <v>1</v>
      </c>
    </row>
    <row r="74" spans="1:15" ht="15.95">
      <c r="A74" t="str">
        <v>LB</v>
      </c>
      <c r="B74" t="str">
        <v>F.LB.13</v>
      </c>
      <c r="C74" s="49" t="str">
        <v>F</v>
      </c>
      <c r="D74">
        <v>3.3799999999999386E-2</v>
      </c>
      <c r="E74" s="1">
        <v>46090</v>
      </c>
      <c r="F74">
        <f t="shared" si="9"/>
        <v>1</v>
      </c>
      <c r="G74">
        <f t="shared" si="10"/>
        <v>29</v>
      </c>
      <c r="H74" s="60">
        <v>0</v>
      </c>
      <c r="I74">
        <f t="shared" si="11"/>
        <v>0</v>
      </c>
      <c r="J74" s="61">
        <v>1</v>
      </c>
      <c r="K74">
        <f t="shared" si="12"/>
        <v>29</v>
      </c>
      <c r="L74" s="62">
        <v>0</v>
      </c>
      <c r="M74">
        <f t="shared" si="13"/>
        <v>0</v>
      </c>
      <c r="N74" t="str">
        <v>NON</v>
      </c>
      <c r="O74">
        <v>1</v>
      </c>
    </row>
    <row r="75" spans="1:15" ht="15.95">
      <c r="A75" t="str">
        <v>LB</v>
      </c>
      <c r="B75" t="str">
        <v>F.LB.14</v>
      </c>
      <c r="C75" s="49" t="str">
        <v>F</v>
      </c>
      <c r="D75">
        <v>4.1199999999999903E-2</v>
      </c>
      <c r="E75" s="1">
        <v>46091</v>
      </c>
      <c r="F75">
        <f t="shared" si="9"/>
        <v>0</v>
      </c>
      <c r="G75">
        <f t="shared" si="10"/>
        <v>0</v>
      </c>
      <c r="H75" s="60">
        <v>0</v>
      </c>
      <c r="I75">
        <f t="shared" si="11"/>
        <v>0</v>
      </c>
      <c r="J75" s="61">
        <v>0</v>
      </c>
      <c r="K75">
        <f t="shared" si="12"/>
        <v>0</v>
      </c>
      <c r="L75" s="62">
        <v>0</v>
      </c>
      <c r="M75">
        <f t="shared" si="13"/>
        <v>0</v>
      </c>
      <c r="N75" t="str">
        <v>NON</v>
      </c>
      <c r="O75">
        <v>1</v>
      </c>
    </row>
    <row r="76" spans="1:15" ht="15.95">
      <c r="A76" t="str">
        <v>LB</v>
      </c>
      <c r="B76" t="str">
        <v>F.LB.15</v>
      </c>
      <c r="C76" s="49" t="str">
        <v>F</v>
      </c>
      <c r="D76">
        <v>4.1499999999999204E-2</v>
      </c>
      <c r="E76" s="1">
        <v>46092</v>
      </c>
      <c r="F76">
        <f t="shared" si="9"/>
        <v>2</v>
      </c>
      <c r="G76">
        <f t="shared" si="10"/>
        <v>48</v>
      </c>
      <c r="H76" s="60">
        <v>2</v>
      </c>
      <c r="I76">
        <f t="shared" si="11"/>
        <v>48</v>
      </c>
      <c r="J76" s="61">
        <v>0</v>
      </c>
      <c r="K76">
        <f t="shared" si="12"/>
        <v>0</v>
      </c>
      <c r="L76" s="62">
        <v>0</v>
      </c>
      <c r="M76">
        <f t="shared" si="13"/>
        <v>0</v>
      </c>
      <c r="N76" t="str">
        <v>NON</v>
      </c>
      <c r="O76">
        <v>1</v>
      </c>
    </row>
    <row r="77" spans="1:15" ht="15.95">
      <c r="A77" t="str">
        <v>LB</v>
      </c>
      <c r="B77" t="str">
        <v>F.LB.16</v>
      </c>
      <c r="C77" s="49" t="str">
        <v>F</v>
      </c>
      <c r="D77">
        <v>4.6399999999998442E-2</v>
      </c>
      <c r="E77" s="1">
        <v>46093</v>
      </c>
      <c r="F77">
        <f t="shared" si="9"/>
        <v>7</v>
      </c>
      <c r="G77">
        <f t="shared" si="10"/>
        <v>150</v>
      </c>
      <c r="H77" s="60">
        <v>5</v>
      </c>
      <c r="I77">
        <f t="shared" si="11"/>
        <v>107</v>
      </c>
      <c r="J77" s="61">
        <v>2</v>
      </c>
      <c r="K77">
        <f t="shared" si="12"/>
        <v>43</v>
      </c>
      <c r="L77" s="62">
        <v>0</v>
      </c>
      <c r="M77">
        <f t="shared" si="13"/>
        <v>0</v>
      </c>
      <c r="N77" t="str">
        <v>NON</v>
      </c>
      <c r="O77">
        <v>1</v>
      </c>
    </row>
    <row r="78" spans="1:15" ht="15.95">
      <c r="A78" t="str">
        <v>LB</v>
      </c>
      <c r="B78" t="str">
        <v>F.LB.17</v>
      </c>
      <c r="C78" s="49" t="str">
        <v>F</v>
      </c>
      <c r="D78">
        <v>3.6199999999999122E-2</v>
      </c>
      <c r="E78" s="1">
        <v>46094</v>
      </c>
      <c r="F78">
        <f t="shared" si="9"/>
        <v>7</v>
      </c>
      <c r="G78">
        <f t="shared" si="10"/>
        <v>193</v>
      </c>
      <c r="H78" s="60">
        <v>5</v>
      </c>
      <c r="I78">
        <f t="shared" si="11"/>
        <v>138</v>
      </c>
      <c r="J78" s="61">
        <v>2</v>
      </c>
      <c r="K78">
        <f t="shared" si="12"/>
        <v>55</v>
      </c>
      <c r="L78" s="62">
        <v>0</v>
      </c>
      <c r="M78">
        <f t="shared" si="13"/>
        <v>0</v>
      </c>
      <c r="N78" t="str">
        <v>NON</v>
      </c>
      <c r="O78">
        <v>1</v>
      </c>
    </row>
    <row r="79" spans="1:15" ht="15.95">
      <c r="A79" t="str">
        <v>LB</v>
      </c>
      <c r="B79" t="str">
        <v>F.LB.18</v>
      </c>
      <c r="C79" s="49" t="str">
        <v>F</v>
      </c>
      <c r="D79">
        <v>5.8600000000000207E-2</v>
      </c>
      <c r="E79" s="1">
        <v>46094</v>
      </c>
      <c r="F79">
        <f t="shared" si="9"/>
        <v>15</v>
      </c>
      <c r="G79">
        <f t="shared" si="10"/>
        <v>255</v>
      </c>
      <c r="H79" s="60">
        <v>8</v>
      </c>
      <c r="I79">
        <f t="shared" si="11"/>
        <v>136</v>
      </c>
      <c r="J79" s="61">
        <v>0</v>
      </c>
      <c r="K79">
        <f t="shared" si="12"/>
        <v>0</v>
      </c>
      <c r="L79" s="62">
        <v>7</v>
      </c>
      <c r="M79">
        <f t="shared" si="13"/>
        <v>119</v>
      </c>
      <c r="N79" t="str">
        <v>NON</v>
      </c>
      <c r="O79">
        <v>1</v>
      </c>
    </row>
    <row r="80" spans="1:15" ht="15.95">
      <c r="A80" t="str">
        <v>LB</v>
      </c>
      <c r="B80" t="str">
        <v>F.LB.19</v>
      </c>
      <c r="C80" s="49" t="str">
        <v>F</v>
      </c>
      <c r="D80">
        <v>3.139999999999965E-2</v>
      </c>
      <c r="E80" s="1">
        <v>46093</v>
      </c>
      <c r="F80">
        <f t="shared" si="9"/>
        <v>10</v>
      </c>
      <c r="G80">
        <f t="shared" si="10"/>
        <v>318</v>
      </c>
      <c r="H80" s="60">
        <v>7</v>
      </c>
      <c r="I80">
        <f t="shared" si="11"/>
        <v>222</v>
      </c>
      <c r="J80" s="61">
        <v>2</v>
      </c>
      <c r="K80">
        <f t="shared" si="12"/>
        <v>63</v>
      </c>
      <c r="L80" s="62">
        <v>1</v>
      </c>
      <c r="M80">
        <f t="shared" si="13"/>
        <v>31</v>
      </c>
      <c r="N80" t="str">
        <v>NON</v>
      </c>
      <c r="O80">
        <v>1</v>
      </c>
    </row>
    <row r="81" spans="1:15" ht="15.95">
      <c r="A81" t="str">
        <v>LB</v>
      </c>
      <c r="B81" t="str">
        <v>F.LB.20</v>
      </c>
      <c r="C81" s="49" t="str">
        <v>F</v>
      </c>
      <c r="D81">
        <v>5.4500000000000881E-2</v>
      </c>
      <c r="E81" s="1">
        <v>46093</v>
      </c>
      <c r="F81">
        <f t="shared" si="9"/>
        <v>12</v>
      </c>
      <c r="G81">
        <f t="shared" si="10"/>
        <v>220</v>
      </c>
      <c r="H81" s="60">
        <v>10</v>
      </c>
      <c r="I81">
        <f t="shared" si="11"/>
        <v>183</v>
      </c>
      <c r="J81" s="61">
        <v>2</v>
      </c>
      <c r="K81">
        <f t="shared" si="12"/>
        <v>36</v>
      </c>
      <c r="L81" s="62">
        <v>0</v>
      </c>
      <c r="M81">
        <f t="shared" si="13"/>
        <v>0</v>
      </c>
      <c r="N81" t="str">
        <v>NON</v>
      </c>
      <c r="O81">
        <v>1</v>
      </c>
    </row>
    <row r="82" spans="1:15" ht="15.95">
      <c r="A82" t="str">
        <v>BB</v>
      </c>
      <c r="B82" t="str">
        <v>M.BB.1</v>
      </c>
      <c r="C82" s="50" t="str">
        <v>M</v>
      </c>
      <c r="D82">
        <v>5.5500000000000327E-2</v>
      </c>
      <c r="E82" s="1">
        <v>46088</v>
      </c>
      <c r="F82">
        <f t="shared" si="9"/>
        <v>5</v>
      </c>
      <c r="G82">
        <f t="shared" si="10"/>
        <v>90</v>
      </c>
      <c r="H82" s="60">
        <v>5</v>
      </c>
      <c r="I82">
        <f t="shared" si="11"/>
        <v>90</v>
      </c>
      <c r="J82" s="61">
        <v>0</v>
      </c>
      <c r="K82">
        <f t="shared" si="12"/>
        <v>0</v>
      </c>
      <c r="L82" s="62">
        <v>0</v>
      </c>
      <c r="M82">
        <f t="shared" si="13"/>
        <v>0</v>
      </c>
      <c r="N82" t="str">
        <v>NON</v>
      </c>
      <c r="O82">
        <v>2</v>
      </c>
    </row>
    <row r="83" spans="1:15" ht="15.95">
      <c r="A83" t="str">
        <v>BB</v>
      </c>
      <c r="B83" t="str">
        <v>M.BB.2</v>
      </c>
      <c r="C83" s="50" t="str">
        <v>M</v>
      </c>
      <c r="D83">
        <v>2.9400000000000759E-2</v>
      </c>
      <c r="E83" s="1">
        <v>46088</v>
      </c>
      <c r="F83">
        <f t="shared" si="9"/>
        <v>11</v>
      </c>
      <c r="G83">
        <f t="shared" si="10"/>
        <v>374</v>
      </c>
      <c r="H83" s="60">
        <v>7</v>
      </c>
      <c r="I83">
        <f t="shared" si="11"/>
        <v>238</v>
      </c>
      <c r="J83" s="61">
        <v>4</v>
      </c>
      <c r="K83">
        <f t="shared" si="12"/>
        <v>136</v>
      </c>
      <c r="L83" s="62">
        <v>0</v>
      </c>
      <c r="M83">
        <f t="shared" si="13"/>
        <v>0</v>
      </c>
      <c r="N83" t="str">
        <v>NON</v>
      </c>
      <c r="O83">
        <v>2</v>
      </c>
    </row>
    <row r="84" spans="1:15" ht="15.95">
      <c r="A84" t="str">
        <v>BB</v>
      </c>
      <c r="B84" t="str">
        <v>M.BB.3</v>
      </c>
      <c r="C84" s="50" t="str">
        <v>M</v>
      </c>
      <c r="D84">
        <v>6.9099999999998829E-2</v>
      </c>
      <c r="E84" s="1">
        <v>46088</v>
      </c>
      <c r="F84">
        <f t="shared" si="9"/>
        <v>2</v>
      </c>
      <c r="G84">
        <f t="shared" si="10"/>
        <v>28</v>
      </c>
      <c r="H84" s="60">
        <v>1</v>
      </c>
      <c r="I84">
        <f t="shared" si="11"/>
        <v>14</v>
      </c>
      <c r="J84" s="61">
        <v>0</v>
      </c>
      <c r="K84">
        <f t="shared" si="12"/>
        <v>0</v>
      </c>
      <c r="L84" s="62">
        <v>1</v>
      </c>
      <c r="M84">
        <f t="shared" si="13"/>
        <v>14</v>
      </c>
      <c r="N84" t="str">
        <v>NON</v>
      </c>
      <c r="O84">
        <v>2</v>
      </c>
    </row>
    <row r="85" spans="1:15" ht="15.95">
      <c r="A85" t="str">
        <v>BB</v>
      </c>
      <c r="B85" t="str">
        <v>M.BB.4</v>
      </c>
      <c r="C85" s="50" t="str">
        <v>M</v>
      </c>
      <c r="D85">
        <v>9.0899999999999537E-2</v>
      </c>
      <c r="E85" s="1">
        <v>46088</v>
      </c>
      <c r="F85">
        <f t="shared" si="9"/>
        <v>10</v>
      </c>
      <c r="G85">
        <f t="shared" si="10"/>
        <v>110</v>
      </c>
      <c r="H85" s="60">
        <v>9</v>
      </c>
      <c r="I85">
        <f t="shared" si="11"/>
        <v>99</v>
      </c>
      <c r="J85" s="61">
        <v>1</v>
      </c>
      <c r="K85">
        <f t="shared" si="12"/>
        <v>11</v>
      </c>
      <c r="L85" s="62">
        <v>0</v>
      </c>
      <c r="M85">
        <f t="shared" si="13"/>
        <v>0</v>
      </c>
      <c r="N85" t="str">
        <v>NON</v>
      </c>
      <c r="O85">
        <v>2</v>
      </c>
    </row>
    <row r="86" spans="1:15" ht="15.95">
      <c r="A86" t="str">
        <v>BB</v>
      </c>
      <c r="B86" t="str">
        <v>M.BB.5</v>
      </c>
      <c r="C86" s="50" t="str">
        <v>M</v>
      </c>
      <c r="D86">
        <v>3.9099999999999469E-2</v>
      </c>
      <c r="E86" s="1">
        <v>46088</v>
      </c>
      <c r="F86">
        <f t="shared" si="9"/>
        <v>6</v>
      </c>
      <c r="G86">
        <f t="shared" si="10"/>
        <v>153</v>
      </c>
      <c r="H86" s="60">
        <v>2</v>
      </c>
      <c r="I86">
        <f t="shared" si="11"/>
        <v>51</v>
      </c>
      <c r="J86" s="61">
        <v>2</v>
      </c>
      <c r="K86">
        <f t="shared" si="12"/>
        <v>51</v>
      </c>
      <c r="L86" s="62">
        <v>2</v>
      </c>
      <c r="M86">
        <f t="shared" si="13"/>
        <v>51</v>
      </c>
      <c r="N86" t="str">
        <v>NON</v>
      </c>
      <c r="O86">
        <v>2</v>
      </c>
    </row>
    <row r="87" spans="1:15" ht="15.95">
      <c r="A87" t="str">
        <v>BB</v>
      </c>
      <c r="B87" t="str">
        <v>M.BB.6</v>
      </c>
      <c r="C87" s="50" t="str">
        <v>M</v>
      </c>
      <c r="D87">
        <v>5.0899999999998613E-2</v>
      </c>
      <c r="E87" s="1">
        <v>46088</v>
      </c>
      <c r="F87">
        <f t="shared" si="9"/>
        <v>3</v>
      </c>
      <c r="G87">
        <f t="shared" si="10"/>
        <v>58</v>
      </c>
      <c r="H87" s="60">
        <v>3</v>
      </c>
      <c r="I87">
        <f t="shared" si="11"/>
        <v>58</v>
      </c>
      <c r="J87" s="61">
        <v>0</v>
      </c>
      <c r="K87">
        <f t="shared" si="12"/>
        <v>0</v>
      </c>
      <c r="L87" s="62">
        <v>0</v>
      </c>
      <c r="M87">
        <f t="shared" si="13"/>
        <v>0</v>
      </c>
      <c r="N87" t="str">
        <v>NON</v>
      </c>
      <c r="O87">
        <v>2</v>
      </c>
    </row>
    <row r="88" spans="1:15" ht="15.95">
      <c r="A88" t="str">
        <v>BB</v>
      </c>
      <c r="B88" t="str">
        <v>M.BB.7</v>
      </c>
      <c r="C88" s="50" t="str">
        <v>M</v>
      </c>
      <c r="D88">
        <v>5.7900000000000063E-2</v>
      </c>
      <c r="E88" s="1">
        <v>46088</v>
      </c>
      <c r="F88">
        <f t="shared" si="9"/>
        <v>11</v>
      </c>
      <c r="G88">
        <f t="shared" si="10"/>
        <v>189</v>
      </c>
      <c r="H88" s="60">
        <v>10</v>
      </c>
      <c r="I88">
        <f t="shared" si="11"/>
        <v>172</v>
      </c>
      <c r="J88" s="61">
        <v>0</v>
      </c>
      <c r="K88">
        <f t="shared" si="12"/>
        <v>0</v>
      </c>
      <c r="L88" s="62">
        <v>1</v>
      </c>
      <c r="M88">
        <f t="shared" si="13"/>
        <v>17</v>
      </c>
      <c r="N88" t="str">
        <v>NON</v>
      </c>
      <c r="O88">
        <v>2</v>
      </c>
    </row>
    <row r="89" spans="1:15" ht="15.95">
      <c r="A89" t="str">
        <v>BB</v>
      </c>
      <c r="B89" t="str">
        <v>M.BB.8</v>
      </c>
      <c r="C89" s="50" t="str">
        <v>M</v>
      </c>
      <c r="D89">
        <v>8.5899999999998755E-2</v>
      </c>
      <c r="E89" s="1">
        <v>46089</v>
      </c>
      <c r="F89">
        <f t="shared" si="9"/>
        <v>11</v>
      </c>
      <c r="G89">
        <f t="shared" si="10"/>
        <v>128</v>
      </c>
      <c r="H89" s="60">
        <v>6</v>
      </c>
      <c r="I89">
        <f t="shared" si="11"/>
        <v>69</v>
      </c>
      <c r="J89" s="61">
        <v>5</v>
      </c>
      <c r="K89">
        <f t="shared" si="12"/>
        <v>58</v>
      </c>
      <c r="L89" s="62">
        <v>0</v>
      </c>
      <c r="M89">
        <f t="shared" si="13"/>
        <v>0</v>
      </c>
      <c r="N89" t="str">
        <v>NON</v>
      </c>
      <c r="O89">
        <v>2</v>
      </c>
    </row>
    <row r="90" spans="1:15" ht="15.95">
      <c r="A90" t="str">
        <v>BB</v>
      </c>
      <c r="B90" t="str">
        <v>M.BB.9</v>
      </c>
      <c r="C90" s="50" t="str">
        <v>M</v>
      </c>
      <c r="D90">
        <v>3.6599999999999966E-2</v>
      </c>
      <c r="E90" s="1">
        <v>46089</v>
      </c>
      <c r="F90">
        <f t="shared" si="9"/>
        <v>7</v>
      </c>
      <c r="G90">
        <f t="shared" si="10"/>
        <v>191</v>
      </c>
      <c r="H90" s="60">
        <v>4</v>
      </c>
      <c r="I90">
        <f t="shared" si="11"/>
        <v>109</v>
      </c>
      <c r="J90" s="61">
        <v>1</v>
      </c>
      <c r="K90">
        <f t="shared" si="12"/>
        <v>27</v>
      </c>
      <c r="L90" s="62">
        <v>2</v>
      </c>
      <c r="M90">
        <f t="shared" si="13"/>
        <v>54</v>
      </c>
      <c r="N90" t="str">
        <v>NON</v>
      </c>
      <c r="O90">
        <v>2</v>
      </c>
    </row>
    <row r="91" spans="1:15" ht="15.95">
      <c r="A91" t="str">
        <v>BB</v>
      </c>
      <c r="B91" t="str">
        <v>M.BB.10</v>
      </c>
      <c r="C91" s="50" t="str">
        <v>M</v>
      </c>
      <c r="D91">
        <v>3.5900000000001597E-2</v>
      </c>
      <c r="E91" s="1">
        <v>46089</v>
      </c>
      <c r="F91">
        <f t="shared" si="9"/>
        <v>7</v>
      </c>
      <c r="G91">
        <f t="shared" si="10"/>
        <v>194</v>
      </c>
      <c r="H91" s="60">
        <v>6</v>
      </c>
      <c r="I91">
        <f t="shared" si="11"/>
        <v>167</v>
      </c>
      <c r="J91" s="61">
        <v>1</v>
      </c>
      <c r="K91">
        <f t="shared" si="12"/>
        <v>27</v>
      </c>
      <c r="L91" s="62">
        <v>0</v>
      </c>
      <c r="M91">
        <f t="shared" si="13"/>
        <v>0</v>
      </c>
      <c r="N91" t="str">
        <v>NON</v>
      </c>
      <c r="O91">
        <v>2</v>
      </c>
    </row>
    <row r="92" spans="1:15" ht="15.95">
      <c r="A92" t="str">
        <v>BB</v>
      </c>
      <c r="B92" t="str">
        <v>F.BB.11</v>
      </c>
      <c r="C92" s="49" t="str">
        <v>F</v>
      </c>
      <c r="D92">
        <v>1.4299999999998647E-2</v>
      </c>
      <c r="E92" s="1">
        <v>46089</v>
      </c>
      <c r="F92">
        <f t="shared" ref="F92:F121" si="14">SUM(H92,J92,L92)</f>
        <v>2</v>
      </c>
      <c r="G92">
        <f t="shared" si="10"/>
        <v>139</v>
      </c>
      <c r="H92" s="60">
        <v>2</v>
      </c>
      <c r="I92">
        <f t="shared" si="11"/>
        <v>139</v>
      </c>
      <c r="J92" s="61">
        <v>0</v>
      </c>
      <c r="K92">
        <f t="shared" si="12"/>
        <v>0</v>
      </c>
      <c r="L92" s="62">
        <v>0</v>
      </c>
      <c r="M92">
        <f t="shared" si="13"/>
        <v>0</v>
      </c>
      <c r="N92" t="str">
        <v>NON</v>
      </c>
      <c r="O92">
        <v>2</v>
      </c>
    </row>
    <row r="93" spans="1:15" ht="15.95">
      <c r="A93" t="str">
        <v>BB</v>
      </c>
      <c r="B93" t="str">
        <v>F.BB.12</v>
      </c>
      <c r="C93" s="49" t="str">
        <v>F</v>
      </c>
      <c r="D93">
        <v>9.100000000000108E-3</v>
      </c>
      <c r="E93" s="1">
        <v>46089</v>
      </c>
      <c r="F93">
        <f t="shared" si="14"/>
        <v>3</v>
      </c>
      <c r="G93">
        <f t="shared" si="10"/>
        <v>329</v>
      </c>
      <c r="H93" s="60">
        <v>3</v>
      </c>
      <c r="I93">
        <f t="shared" si="11"/>
        <v>329</v>
      </c>
      <c r="J93" s="61">
        <v>0</v>
      </c>
      <c r="K93">
        <f t="shared" si="12"/>
        <v>0</v>
      </c>
      <c r="L93" s="62">
        <v>0</v>
      </c>
      <c r="M93">
        <f t="shared" si="13"/>
        <v>0</v>
      </c>
      <c r="N93" t="str">
        <v>NON</v>
      </c>
      <c r="O93">
        <v>2</v>
      </c>
    </row>
    <row r="94" spans="1:15" ht="15.95">
      <c r="A94" t="str">
        <v>BB</v>
      </c>
      <c r="B94" t="str">
        <v>F.BB.13</v>
      </c>
      <c r="C94" s="49" t="str">
        <v>F</v>
      </c>
      <c r="D94">
        <v>1.9600000000000506E-2</v>
      </c>
      <c r="E94" s="1">
        <v>46089</v>
      </c>
      <c r="F94">
        <f t="shared" si="14"/>
        <v>1</v>
      </c>
      <c r="G94">
        <f t="shared" si="10"/>
        <v>51</v>
      </c>
      <c r="H94" s="60">
        <v>1</v>
      </c>
      <c r="I94">
        <f t="shared" si="11"/>
        <v>51</v>
      </c>
      <c r="J94" s="61">
        <v>0</v>
      </c>
      <c r="K94">
        <f t="shared" si="12"/>
        <v>0</v>
      </c>
      <c r="L94" s="62">
        <v>0</v>
      </c>
      <c r="M94">
        <f t="shared" si="13"/>
        <v>0</v>
      </c>
      <c r="N94" t="str">
        <v>NON</v>
      </c>
      <c r="O94">
        <v>2</v>
      </c>
    </row>
    <row r="95" spans="1:15" ht="15.95">
      <c r="A95" t="str">
        <v>BB</v>
      </c>
      <c r="B95" t="str">
        <v>F.BB.14</v>
      </c>
      <c r="C95" s="49" t="str">
        <v>F</v>
      </c>
      <c r="D95">
        <v>1.2899999999999245E-2</v>
      </c>
      <c r="E95" s="1">
        <v>46089</v>
      </c>
      <c r="F95">
        <f t="shared" si="14"/>
        <v>4</v>
      </c>
      <c r="G95">
        <f t="shared" si="10"/>
        <v>310</v>
      </c>
      <c r="H95" s="60">
        <v>3</v>
      </c>
      <c r="I95">
        <f t="shared" si="11"/>
        <v>232</v>
      </c>
      <c r="J95" s="61">
        <v>1</v>
      </c>
      <c r="K95">
        <f t="shared" si="12"/>
        <v>77</v>
      </c>
      <c r="L95" s="62">
        <v>0</v>
      </c>
      <c r="M95">
        <f t="shared" si="13"/>
        <v>0</v>
      </c>
      <c r="N95" t="str">
        <v>NON</v>
      </c>
      <c r="O95">
        <v>2</v>
      </c>
    </row>
    <row r="96" spans="1:15" ht="15.95">
      <c r="A96" t="str">
        <v>BB</v>
      </c>
      <c r="B96" t="str">
        <v>F.BB.15</v>
      </c>
      <c r="C96" s="49" t="str">
        <v>F</v>
      </c>
      <c r="D96">
        <v>6.8000000000001393E-3</v>
      </c>
      <c r="E96" s="1">
        <v>46089</v>
      </c>
      <c r="F96">
        <f t="shared" si="14"/>
        <v>2</v>
      </c>
      <c r="G96">
        <f t="shared" si="10"/>
        <v>294</v>
      </c>
      <c r="H96" s="60">
        <v>1</v>
      </c>
      <c r="I96">
        <f t="shared" si="11"/>
        <v>147</v>
      </c>
      <c r="J96" s="61">
        <v>1</v>
      </c>
      <c r="K96">
        <f t="shared" si="12"/>
        <v>147</v>
      </c>
      <c r="L96" s="62">
        <v>0</v>
      </c>
      <c r="M96">
        <f t="shared" si="13"/>
        <v>0</v>
      </c>
      <c r="N96" t="str">
        <v>NON</v>
      </c>
      <c r="O96">
        <v>2</v>
      </c>
    </row>
    <row r="97" spans="1:16" ht="15.95">
      <c r="A97" t="str">
        <v>BB</v>
      </c>
      <c r="B97" t="str">
        <v>F.BB.16</v>
      </c>
      <c r="C97" s="49" t="str">
        <v>F</v>
      </c>
      <c r="D97">
        <v>2.1999999999999353E-2</v>
      </c>
      <c r="E97" s="1">
        <v>46089</v>
      </c>
      <c r="F97">
        <f t="shared" si="14"/>
        <v>10</v>
      </c>
      <c r="G97">
        <f t="shared" si="10"/>
        <v>454</v>
      </c>
      <c r="H97" s="60">
        <v>3</v>
      </c>
      <c r="I97">
        <f t="shared" si="11"/>
        <v>136</v>
      </c>
      <c r="J97" s="61">
        <v>4</v>
      </c>
      <c r="K97">
        <f t="shared" si="12"/>
        <v>181</v>
      </c>
      <c r="L97" s="62">
        <v>3</v>
      </c>
      <c r="M97">
        <f t="shared" si="13"/>
        <v>136</v>
      </c>
      <c r="N97" t="str">
        <v>NON</v>
      </c>
      <c r="O97">
        <v>2</v>
      </c>
    </row>
    <row r="98" spans="1:16" ht="15.95">
      <c r="A98" t="str">
        <v>BB</v>
      </c>
      <c r="B98" t="str">
        <v>F.BB.17</v>
      </c>
      <c r="C98" s="49" t="str">
        <v>F</v>
      </c>
      <c r="D98">
        <v>1.1400000000000077E-2</v>
      </c>
      <c r="E98" s="1">
        <v>46089</v>
      </c>
      <c r="F98">
        <f t="shared" si="14"/>
        <v>7</v>
      </c>
      <c r="G98">
        <f t="shared" ref="G98:G121" si="15">QUOTIENT(F98,D98)</f>
        <v>614</v>
      </c>
      <c r="H98" s="60">
        <v>5</v>
      </c>
      <c r="I98">
        <f t="shared" ref="I98:I121" si="16">QUOTIENT(H98,D98)</f>
        <v>438</v>
      </c>
      <c r="J98" s="61">
        <v>1</v>
      </c>
      <c r="K98">
        <f t="shared" ref="K98:K121" si="17">QUOTIENT(J98,D98)</f>
        <v>87</v>
      </c>
      <c r="L98" s="62">
        <v>1</v>
      </c>
      <c r="M98">
        <f t="shared" ref="M98:M121" si="18">QUOTIENT(L98,D98)</f>
        <v>87</v>
      </c>
      <c r="N98" t="str">
        <v>NON</v>
      </c>
      <c r="O98">
        <v>2</v>
      </c>
    </row>
    <row r="99" spans="1:16" ht="15.95">
      <c r="A99" t="str">
        <v>BB</v>
      </c>
      <c r="B99" t="str">
        <v>F.BB.18</v>
      </c>
      <c r="C99" s="49" t="str">
        <v>F</v>
      </c>
      <c r="D99">
        <v>8.3999999999999631E-3</v>
      </c>
      <c r="E99" s="1">
        <v>46091</v>
      </c>
      <c r="F99">
        <f t="shared" si="14"/>
        <v>3</v>
      </c>
      <c r="G99">
        <f t="shared" si="15"/>
        <v>357</v>
      </c>
      <c r="H99" s="60">
        <v>1</v>
      </c>
      <c r="I99">
        <f t="shared" si="16"/>
        <v>119</v>
      </c>
      <c r="J99" s="61">
        <v>1</v>
      </c>
      <c r="K99">
        <f t="shared" si="17"/>
        <v>119</v>
      </c>
      <c r="L99" s="62">
        <v>1</v>
      </c>
      <c r="M99">
        <f t="shared" si="18"/>
        <v>119</v>
      </c>
      <c r="N99" t="str">
        <v>NON</v>
      </c>
      <c r="O99">
        <v>2</v>
      </c>
    </row>
    <row r="100" spans="1:16" ht="15.95">
      <c r="A100" t="str">
        <v>BB</v>
      </c>
      <c r="B100" t="str">
        <v>F.BB.19</v>
      </c>
      <c r="C100" s="49" t="str">
        <v>F</v>
      </c>
      <c r="D100">
        <v>1.1099999999999888E-2</v>
      </c>
      <c r="E100" s="1">
        <v>46091</v>
      </c>
      <c r="F100">
        <f t="shared" si="14"/>
        <v>7</v>
      </c>
      <c r="G100">
        <f t="shared" si="15"/>
        <v>630</v>
      </c>
      <c r="H100" s="60">
        <v>6</v>
      </c>
      <c r="I100">
        <f t="shared" si="16"/>
        <v>540</v>
      </c>
      <c r="J100" s="61">
        <v>1</v>
      </c>
      <c r="K100">
        <f t="shared" si="17"/>
        <v>90</v>
      </c>
      <c r="L100" s="62">
        <v>0</v>
      </c>
      <c r="M100">
        <f t="shared" si="18"/>
        <v>0</v>
      </c>
      <c r="N100" t="str">
        <v>NON</v>
      </c>
      <c r="O100">
        <v>2</v>
      </c>
    </row>
    <row r="101" spans="1:16" ht="15.95">
      <c r="A101" t="str">
        <v>BB</v>
      </c>
      <c r="B101" t="str">
        <v>F.BB.20</v>
      </c>
      <c r="C101" s="49" t="str">
        <v>F</v>
      </c>
      <c r="D101">
        <v>7.6000000000000512E-3</v>
      </c>
      <c r="E101" s="1">
        <v>46091</v>
      </c>
      <c r="F101">
        <f t="shared" si="14"/>
        <v>6</v>
      </c>
      <c r="G101">
        <f t="shared" si="15"/>
        <v>789</v>
      </c>
      <c r="H101" s="60">
        <v>3</v>
      </c>
      <c r="I101">
        <f t="shared" si="16"/>
        <v>394</v>
      </c>
      <c r="J101" s="61">
        <v>3</v>
      </c>
      <c r="K101">
        <f t="shared" si="17"/>
        <v>394</v>
      </c>
      <c r="L101" s="62">
        <v>0</v>
      </c>
      <c r="M101">
        <f t="shared" si="18"/>
        <v>0</v>
      </c>
      <c r="N101" t="str">
        <v>NON</v>
      </c>
      <c r="O101">
        <v>2</v>
      </c>
    </row>
    <row r="102" spans="1:16" ht="15.95">
      <c r="A102" t="str">
        <v>PC</v>
      </c>
      <c r="B102" t="str">
        <v>M.PC.1</v>
      </c>
      <c r="C102" s="50" t="str">
        <v>M</v>
      </c>
      <c r="D102">
        <v>1.6399999999999082E-2</v>
      </c>
      <c r="E102" s="1">
        <v>46091</v>
      </c>
      <c r="F102">
        <f t="shared" si="14"/>
        <v>19</v>
      </c>
      <c r="G102">
        <f t="shared" si="15"/>
        <v>1158</v>
      </c>
      <c r="H102" s="60">
        <v>10</v>
      </c>
      <c r="I102">
        <f t="shared" si="16"/>
        <v>609</v>
      </c>
      <c r="J102" s="61">
        <v>7</v>
      </c>
      <c r="K102">
        <f t="shared" si="17"/>
        <v>426</v>
      </c>
      <c r="L102" s="62">
        <v>2</v>
      </c>
      <c r="M102">
        <f t="shared" si="18"/>
        <v>121</v>
      </c>
      <c r="N102" t="str">
        <v>NON</v>
      </c>
      <c r="O102">
        <v>3</v>
      </c>
      <c r="P102" t="s">
        <v>150</v>
      </c>
    </row>
    <row r="103" spans="1:16" ht="15.95">
      <c r="A103" t="str">
        <v>PC</v>
      </c>
      <c r="B103" t="str">
        <v>M.PC.2</v>
      </c>
      <c r="C103" s="50" t="str">
        <v>M</v>
      </c>
      <c r="D103">
        <v>1.6500000000000625E-2</v>
      </c>
      <c r="E103" s="1">
        <v>46091</v>
      </c>
      <c r="F103">
        <f t="shared" si="14"/>
        <v>11</v>
      </c>
      <c r="G103">
        <f t="shared" si="15"/>
        <v>666</v>
      </c>
      <c r="H103" s="60">
        <v>7</v>
      </c>
      <c r="I103">
        <f t="shared" si="16"/>
        <v>424</v>
      </c>
      <c r="J103" s="61">
        <v>3</v>
      </c>
      <c r="K103">
        <f t="shared" si="17"/>
        <v>181</v>
      </c>
      <c r="L103" s="62">
        <v>1</v>
      </c>
      <c r="M103">
        <f t="shared" si="18"/>
        <v>60</v>
      </c>
      <c r="N103" t="str">
        <v>NON</v>
      </c>
      <c r="O103">
        <v>3</v>
      </c>
    </row>
    <row r="104" spans="1:16" ht="15.95">
      <c r="A104" t="str">
        <v>PC</v>
      </c>
      <c r="B104" t="str">
        <v>M.PC.3</v>
      </c>
      <c r="C104" s="50" t="str">
        <v>M</v>
      </c>
      <c r="D104">
        <v>3.2400000000000873E-2</v>
      </c>
      <c r="E104" s="1">
        <v>46091</v>
      </c>
      <c r="F104">
        <f t="shared" si="14"/>
        <v>9</v>
      </c>
      <c r="G104">
        <f t="shared" si="15"/>
        <v>277</v>
      </c>
      <c r="H104" s="60">
        <v>8</v>
      </c>
      <c r="I104">
        <f t="shared" si="16"/>
        <v>246</v>
      </c>
      <c r="J104" s="61">
        <v>1</v>
      </c>
      <c r="K104">
        <f t="shared" si="17"/>
        <v>30</v>
      </c>
      <c r="L104" s="62">
        <v>0</v>
      </c>
      <c r="M104">
        <f t="shared" si="18"/>
        <v>0</v>
      </c>
      <c r="N104" t="str">
        <v>NON</v>
      </c>
      <c r="O104">
        <v>3</v>
      </c>
    </row>
    <row r="105" spans="1:16" ht="15.95">
      <c r="A105" t="str">
        <v>PC</v>
      </c>
      <c r="B105" t="str">
        <v>M.PC.4</v>
      </c>
      <c r="C105" s="50" t="str">
        <v>M</v>
      </c>
      <c r="D105">
        <v>6.0200000000000031E-2</v>
      </c>
      <c r="E105" s="1">
        <v>46091</v>
      </c>
      <c r="F105">
        <f t="shared" si="14"/>
        <v>13</v>
      </c>
      <c r="G105">
        <f t="shared" si="15"/>
        <v>215</v>
      </c>
      <c r="H105" s="60">
        <v>10</v>
      </c>
      <c r="I105">
        <f t="shared" si="16"/>
        <v>166</v>
      </c>
      <c r="J105" s="61">
        <v>1</v>
      </c>
      <c r="K105">
        <f t="shared" si="17"/>
        <v>16</v>
      </c>
      <c r="L105" s="62">
        <v>2</v>
      </c>
      <c r="M105">
        <f t="shared" si="18"/>
        <v>33</v>
      </c>
      <c r="N105" t="str">
        <v>NON</v>
      </c>
      <c r="O105">
        <v>3</v>
      </c>
    </row>
    <row r="106" spans="1:16" ht="15.95">
      <c r="A106" t="str">
        <v>PC</v>
      </c>
      <c r="B106" t="str">
        <v>M.PC.5</v>
      </c>
      <c r="C106" s="50" t="str">
        <v>M</v>
      </c>
      <c r="D106">
        <v>4.81999999999978E-2</v>
      </c>
      <c r="E106" s="1">
        <v>46091</v>
      </c>
      <c r="F106">
        <f t="shared" si="14"/>
        <v>17</v>
      </c>
      <c r="G106">
        <f t="shared" si="15"/>
        <v>352</v>
      </c>
      <c r="H106" s="60">
        <v>9</v>
      </c>
      <c r="I106">
        <f t="shared" si="16"/>
        <v>186</v>
      </c>
      <c r="J106" s="61">
        <v>8</v>
      </c>
      <c r="K106">
        <f t="shared" si="17"/>
        <v>165</v>
      </c>
      <c r="L106" s="62">
        <v>0</v>
      </c>
      <c r="M106">
        <f t="shared" si="18"/>
        <v>0</v>
      </c>
      <c r="N106" t="str">
        <v>NON</v>
      </c>
      <c r="O106">
        <v>3</v>
      </c>
    </row>
    <row r="107" spans="1:16" ht="15.95">
      <c r="A107" t="str">
        <v>PC</v>
      </c>
      <c r="B107" t="str">
        <v>M.PC.6</v>
      </c>
      <c r="C107" s="50" t="str">
        <v>M</v>
      </c>
      <c r="D107">
        <v>2.0199999999999108E-2</v>
      </c>
      <c r="E107" s="1">
        <v>46091</v>
      </c>
      <c r="F107">
        <f t="shared" si="14"/>
        <v>5</v>
      </c>
      <c r="G107">
        <f t="shared" si="15"/>
        <v>247</v>
      </c>
      <c r="H107" s="60">
        <v>2</v>
      </c>
      <c r="I107">
        <f t="shared" si="16"/>
        <v>99</v>
      </c>
      <c r="J107" s="61">
        <v>2</v>
      </c>
      <c r="K107">
        <f t="shared" si="17"/>
        <v>99</v>
      </c>
      <c r="L107" s="62">
        <v>1</v>
      </c>
      <c r="M107">
        <f t="shared" si="18"/>
        <v>49</v>
      </c>
      <c r="N107" t="str">
        <v>NON</v>
      </c>
      <c r="O107">
        <v>3</v>
      </c>
    </row>
    <row r="108" spans="1:16" ht="15.95">
      <c r="A108" t="str">
        <v>PC</v>
      </c>
      <c r="B108" t="str">
        <v>M.PC.7</v>
      </c>
      <c r="C108" s="50" t="str">
        <v>M</v>
      </c>
      <c r="D108">
        <v>2.4599999999999511E-2</v>
      </c>
      <c r="E108" s="1">
        <v>46091</v>
      </c>
      <c r="F108">
        <f t="shared" si="14"/>
        <v>11</v>
      </c>
      <c r="G108">
        <f t="shared" si="15"/>
        <v>447</v>
      </c>
      <c r="H108" s="60">
        <v>6</v>
      </c>
      <c r="I108">
        <f t="shared" si="16"/>
        <v>243</v>
      </c>
      <c r="J108" s="61">
        <v>5</v>
      </c>
      <c r="K108">
        <f t="shared" si="17"/>
        <v>203</v>
      </c>
      <c r="L108" s="62">
        <v>0</v>
      </c>
      <c r="M108">
        <f t="shared" si="18"/>
        <v>0</v>
      </c>
      <c r="N108" t="str">
        <v>NON</v>
      </c>
      <c r="O108">
        <v>3</v>
      </c>
    </row>
    <row r="109" spans="1:16" ht="15.95">
      <c r="A109" t="str">
        <v>PC</v>
      </c>
      <c r="B109" t="str">
        <v>M.PC.8</v>
      </c>
      <c r="C109" s="50" t="str">
        <v>M</v>
      </c>
      <c r="D109">
        <v>3.2700000000000173E-2</v>
      </c>
      <c r="E109" s="1">
        <v>46091</v>
      </c>
      <c r="F109">
        <f t="shared" si="14"/>
        <v>3</v>
      </c>
      <c r="G109">
        <f t="shared" si="15"/>
        <v>91</v>
      </c>
      <c r="H109" s="60">
        <v>2</v>
      </c>
      <c r="I109">
        <f t="shared" si="16"/>
        <v>61</v>
      </c>
      <c r="J109" s="61">
        <v>1</v>
      </c>
      <c r="K109">
        <f t="shared" si="17"/>
        <v>30</v>
      </c>
      <c r="L109" s="62">
        <v>0</v>
      </c>
      <c r="M109">
        <f t="shared" si="18"/>
        <v>0</v>
      </c>
      <c r="N109" t="str">
        <v>NON</v>
      </c>
      <c r="O109">
        <v>3</v>
      </c>
    </row>
    <row r="110" spans="1:16" ht="15.95">
      <c r="A110" t="str">
        <v>PC</v>
      </c>
      <c r="B110" t="str">
        <v>M.PC.9</v>
      </c>
      <c r="C110" s="50" t="str">
        <v>M</v>
      </c>
      <c r="D110">
        <v>1.4599999999997948E-2</v>
      </c>
      <c r="E110" s="1">
        <v>46092</v>
      </c>
      <c r="F110">
        <f t="shared" si="14"/>
        <v>8</v>
      </c>
      <c r="G110">
        <f t="shared" si="15"/>
        <v>547</v>
      </c>
      <c r="H110" s="60">
        <v>5</v>
      </c>
      <c r="I110">
        <f t="shared" si="16"/>
        <v>342</v>
      </c>
      <c r="J110" s="61">
        <v>2</v>
      </c>
      <c r="K110">
        <f t="shared" si="17"/>
        <v>136</v>
      </c>
      <c r="L110" s="62">
        <v>1</v>
      </c>
      <c r="M110">
        <f t="shared" si="18"/>
        <v>68</v>
      </c>
      <c r="N110" t="str">
        <v>NON</v>
      </c>
      <c r="O110">
        <v>3</v>
      </c>
    </row>
    <row r="111" spans="1:16" ht="15.95">
      <c r="A111" t="str">
        <v>PC</v>
      </c>
      <c r="B111" t="str">
        <v>M.PC.10</v>
      </c>
      <c r="C111" s="50" t="str">
        <v>M</v>
      </c>
      <c r="D111">
        <v>2.4599999999999511E-2</v>
      </c>
      <c r="F111">
        <f t="shared" si="14"/>
        <v>12</v>
      </c>
      <c r="G111">
        <f t="shared" si="15"/>
        <v>487</v>
      </c>
      <c r="H111" s="60">
        <v>8</v>
      </c>
      <c r="I111">
        <f t="shared" si="16"/>
        <v>325</v>
      </c>
      <c r="J111" s="61">
        <v>3</v>
      </c>
      <c r="K111">
        <f t="shared" si="17"/>
        <v>121</v>
      </c>
      <c r="L111" s="62">
        <v>1</v>
      </c>
      <c r="M111">
        <f t="shared" si="18"/>
        <v>40</v>
      </c>
      <c r="N111" t="str">
        <v>NON</v>
      </c>
      <c r="O111">
        <v>3</v>
      </c>
    </row>
    <row r="112" spans="1:16" ht="15.95">
      <c r="A112" t="str">
        <v>PC</v>
      </c>
      <c r="B112" t="str">
        <v>F.PC.11</v>
      </c>
      <c r="C112" s="49" t="str">
        <v>F</v>
      </c>
      <c r="D112">
        <v>1.5900000000000247E-2</v>
      </c>
      <c r="F112">
        <f t="shared" si="14"/>
        <v>7</v>
      </c>
      <c r="G112">
        <f t="shared" si="15"/>
        <v>440</v>
      </c>
      <c r="H112" s="60">
        <v>6</v>
      </c>
      <c r="I112">
        <f t="shared" si="16"/>
        <v>377</v>
      </c>
      <c r="J112" s="61">
        <v>1</v>
      </c>
      <c r="K112">
        <f t="shared" si="17"/>
        <v>62</v>
      </c>
      <c r="L112" s="62">
        <v>0</v>
      </c>
      <c r="M112">
        <f t="shared" si="18"/>
        <v>0</v>
      </c>
      <c r="N112" t="str">
        <v>NON</v>
      </c>
      <c r="O112">
        <v>3</v>
      </c>
    </row>
    <row r="113" spans="1:16" ht="15.95">
      <c r="A113" t="str">
        <v>PC</v>
      </c>
      <c r="B113" t="str">
        <v>F.PC.12</v>
      </c>
      <c r="C113" s="49" t="str">
        <v>F</v>
      </c>
      <c r="D113">
        <v>1.7699999999997829E-2</v>
      </c>
      <c r="F113">
        <f t="shared" si="14"/>
        <v>5</v>
      </c>
      <c r="G113">
        <f t="shared" si="15"/>
        <v>282</v>
      </c>
      <c r="H113" s="60">
        <v>2</v>
      </c>
      <c r="I113">
        <f t="shared" si="16"/>
        <v>112</v>
      </c>
      <c r="J113" s="61">
        <v>1</v>
      </c>
      <c r="K113">
        <f t="shared" si="17"/>
        <v>56</v>
      </c>
      <c r="L113" s="62">
        <v>2</v>
      </c>
      <c r="M113">
        <f t="shared" si="18"/>
        <v>112</v>
      </c>
      <c r="N113" t="str">
        <v>NON</v>
      </c>
      <c r="O113">
        <v>3</v>
      </c>
    </row>
    <row r="114" spans="1:16" ht="15.95">
      <c r="A114" t="str">
        <v>PC</v>
      </c>
      <c r="B114" t="str">
        <v>F.PC.13</v>
      </c>
      <c r="C114" s="49" t="str">
        <v>F</v>
      </c>
      <c r="D114">
        <v>9.800000000000253E-3</v>
      </c>
      <c r="F114">
        <f t="shared" si="14"/>
        <v>6</v>
      </c>
      <c r="G114">
        <f t="shared" si="15"/>
        <v>612</v>
      </c>
      <c r="H114" s="60">
        <v>3</v>
      </c>
      <c r="I114">
        <f t="shared" si="16"/>
        <v>306</v>
      </c>
      <c r="J114" s="61">
        <v>2</v>
      </c>
      <c r="K114">
        <f t="shared" si="17"/>
        <v>204</v>
      </c>
      <c r="L114" s="62">
        <v>1</v>
      </c>
      <c r="M114">
        <f t="shared" si="18"/>
        <v>102</v>
      </c>
      <c r="N114" t="str">
        <v>NON</v>
      </c>
      <c r="O114">
        <v>3</v>
      </c>
    </row>
    <row r="115" spans="1:16" ht="15.95">
      <c r="A115" t="str">
        <v>PC</v>
      </c>
      <c r="B115" t="str">
        <v>F.PC.14</v>
      </c>
      <c r="C115" s="49" t="str">
        <v>F</v>
      </c>
      <c r="D115">
        <v>2.5600000000000733E-2</v>
      </c>
      <c r="F115">
        <f t="shared" si="14"/>
        <v>2</v>
      </c>
      <c r="G115">
        <f t="shared" si="15"/>
        <v>78</v>
      </c>
      <c r="H115" s="60">
        <v>1</v>
      </c>
      <c r="I115">
        <f t="shared" si="16"/>
        <v>39</v>
      </c>
      <c r="J115" s="61">
        <v>1</v>
      </c>
      <c r="K115">
        <f t="shared" si="17"/>
        <v>39</v>
      </c>
      <c r="L115" s="62">
        <v>0</v>
      </c>
      <c r="M115">
        <f t="shared" si="18"/>
        <v>0</v>
      </c>
      <c r="N115" t="str">
        <v>NON</v>
      </c>
      <c r="O115">
        <v>3</v>
      </c>
      <c r="P115" s="57" t="s">
        <v>273</v>
      </c>
    </row>
    <row r="116" spans="1:16" ht="15.95">
      <c r="A116" t="str">
        <v>PC</v>
      </c>
      <c r="B116" t="str">
        <v>F.PC.15</v>
      </c>
      <c r="C116" s="49" t="str">
        <v>F</v>
      </c>
      <c r="D116">
        <v>4.269999999999996E-2</v>
      </c>
      <c r="F116">
        <f t="shared" si="14"/>
        <v>19</v>
      </c>
      <c r="G116">
        <f t="shared" si="15"/>
        <v>444</v>
      </c>
      <c r="H116" s="60">
        <v>10</v>
      </c>
      <c r="I116">
        <f t="shared" si="16"/>
        <v>234</v>
      </c>
      <c r="J116" s="61">
        <v>2</v>
      </c>
      <c r="K116">
        <f t="shared" si="17"/>
        <v>46</v>
      </c>
      <c r="L116" s="62">
        <v>7</v>
      </c>
      <c r="M116">
        <f t="shared" si="18"/>
        <v>163</v>
      </c>
      <c r="N116" t="str">
        <v>NON</v>
      </c>
      <c r="O116">
        <v>3</v>
      </c>
      <c r="P116" s="57" t="s">
        <v>274</v>
      </c>
    </row>
    <row r="117" spans="1:16" ht="15.95">
      <c r="A117" t="str">
        <v>PC</v>
      </c>
      <c r="B117" t="str">
        <v>F.PC.16</v>
      </c>
      <c r="C117" s="49" t="str">
        <v>F</v>
      </c>
      <c r="D117">
        <v>2.3600000000001842E-2</v>
      </c>
      <c r="F117">
        <f t="shared" si="14"/>
        <v>11</v>
      </c>
      <c r="G117">
        <f t="shared" si="15"/>
        <v>466</v>
      </c>
      <c r="H117" s="60">
        <v>10</v>
      </c>
      <c r="I117">
        <f t="shared" si="16"/>
        <v>423</v>
      </c>
      <c r="J117" s="61">
        <v>0</v>
      </c>
      <c r="K117">
        <f t="shared" si="17"/>
        <v>0</v>
      </c>
      <c r="L117" s="62">
        <v>1</v>
      </c>
      <c r="M117">
        <f t="shared" si="18"/>
        <v>42</v>
      </c>
      <c r="N117" t="str">
        <v>NON</v>
      </c>
      <c r="O117">
        <v>3</v>
      </c>
    </row>
    <row r="118" spans="1:16" ht="15.95">
      <c r="A118" t="str">
        <v>PC</v>
      </c>
      <c r="B118" t="str">
        <v>F.PC.17</v>
      </c>
      <c r="C118" s="49" t="str">
        <v>F</v>
      </c>
      <c r="D118">
        <v>8.3999999999999631E-3</v>
      </c>
      <c r="F118">
        <f t="shared" si="14"/>
        <v>6</v>
      </c>
      <c r="G118">
        <f t="shared" si="15"/>
        <v>714</v>
      </c>
      <c r="H118" s="60">
        <v>6</v>
      </c>
      <c r="I118">
        <f t="shared" si="16"/>
        <v>714</v>
      </c>
      <c r="J118" s="61">
        <v>0</v>
      </c>
      <c r="K118">
        <f t="shared" si="17"/>
        <v>0</v>
      </c>
      <c r="L118" s="62">
        <v>0</v>
      </c>
      <c r="M118">
        <f t="shared" si="18"/>
        <v>0</v>
      </c>
      <c r="N118" t="str">
        <v>NON</v>
      </c>
      <c r="O118">
        <v>3</v>
      </c>
    </row>
    <row r="119" spans="1:16" ht="15.95">
      <c r="A119" t="str">
        <v>PC</v>
      </c>
      <c r="B119" t="str">
        <v>F.PC.18</v>
      </c>
      <c r="C119" s="49" t="str">
        <v>F</v>
      </c>
      <c r="D119">
        <v>3.9399999999996993E-2</v>
      </c>
      <c r="F119">
        <f t="shared" si="14"/>
        <v>11</v>
      </c>
      <c r="G119">
        <f t="shared" si="15"/>
        <v>279</v>
      </c>
      <c r="H119" s="60">
        <v>8</v>
      </c>
      <c r="I119">
        <f t="shared" si="16"/>
        <v>203</v>
      </c>
      <c r="J119" s="61">
        <v>3</v>
      </c>
      <c r="K119">
        <f t="shared" si="17"/>
        <v>76</v>
      </c>
      <c r="L119" s="62">
        <v>0</v>
      </c>
      <c r="M119">
        <f t="shared" si="18"/>
        <v>0</v>
      </c>
      <c r="N119" t="str">
        <v>NON</v>
      </c>
      <c r="O119">
        <v>3</v>
      </c>
    </row>
    <row r="120" spans="1:16" ht="15.95">
      <c r="A120" t="str">
        <v>PC</v>
      </c>
      <c r="B120" t="str">
        <v>F.PC.19</v>
      </c>
      <c r="C120" s="49" t="str">
        <v>F</v>
      </c>
      <c r="D120">
        <v>1.8100000000000449E-2</v>
      </c>
      <c r="F120">
        <f t="shared" si="14"/>
        <v>2</v>
      </c>
      <c r="G120">
        <f t="shared" si="15"/>
        <v>110</v>
      </c>
      <c r="H120" s="60">
        <v>1</v>
      </c>
      <c r="I120">
        <f t="shared" si="16"/>
        <v>55</v>
      </c>
      <c r="J120" s="61">
        <v>1</v>
      </c>
      <c r="K120">
        <f t="shared" si="17"/>
        <v>55</v>
      </c>
      <c r="L120" s="62">
        <v>0</v>
      </c>
      <c r="M120">
        <f t="shared" si="18"/>
        <v>0</v>
      </c>
      <c r="N120" t="str">
        <v>NON</v>
      </c>
      <c r="O120">
        <v>3</v>
      </c>
    </row>
    <row r="121" spans="1:16" ht="15.95">
      <c r="A121" t="str">
        <v>PC</v>
      </c>
      <c r="B121" t="str">
        <v>F.PC.20</v>
      </c>
      <c r="C121" s="49" t="str">
        <v>F</v>
      </c>
      <c r="D121">
        <v>2.4399999999999977E-2</v>
      </c>
      <c r="F121">
        <f t="shared" si="14"/>
        <v>2</v>
      </c>
      <c r="G121">
        <f t="shared" si="15"/>
        <v>81</v>
      </c>
      <c r="H121" s="60">
        <v>1</v>
      </c>
      <c r="I121">
        <f t="shared" si="16"/>
        <v>40</v>
      </c>
      <c r="J121" s="61">
        <v>1</v>
      </c>
      <c r="K121">
        <f t="shared" si="17"/>
        <v>40</v>
      </c>
      <c r="L121" s="62">
        <v>0</v>
      </c>
      <c r="M121">
        <f t="shared" si="18"/>
        <v>0</v>
      </c>
      <c r="N121" t="str">
        <v>NON</v>
      </c>
      <c r="O121">
        <v>3</v>
      </c>
    </row>
    <row r="123" spans="1:16">
      <c r="F123">
        <f>SUM(F2:F121)</f>
        <v>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72"/>
  <sheetViews>
    <sheetView workbookViewId="0">
      <selection activeCell="C6" sqref="C6"/>
    </sheetView>
  </sheetViews>
  <sheetFormatPr defaultColWidth="8.42578125" defaultRowHeight="15"/>
  <cols>
    <col min="3" max="3" width="17.42578125" customWidth="1"/>
    <col min="4" max="4" width="18" customWidth="1"/>
    <col min="5" max="34" width="10.85546875" customWidth="1"/>
    <col min="35" max="35" width="17.42578125" customWidth="1"/>
  </cols>
  <sheetData>
    <row r="1" spans="1:6" ht="96">
      <c r="A1" t="s">
        <v>275</v>
      </c>
    </row>
    <row r="3" spans="1:6" ht="15.95">
      <c r="C3" t="s">
        <v>276</v>
      </c>
      <c r="D3" s="1">
        <f ca="1">TODAY()</f>
        <v>46102</v>
      </c>
      <c r="E3" s="1"/>
    </row>
    <row r="4" spans="1:6">
      <c r="D4">
        <v>5</v>
      </c>
    </row>
    <row r="5" spans="1:6" ht="15.95">
      <c r="C5" t="s">
        <v>277</v>
      </c>
      <c r="D5">
        <f>ROWS(Activities[])</f>
        <v>22</v>
      </c>
    </row>
    <row r="6" spans="1:6">
      <c r="E6" t="e">
        <f>NA()</f>
        <v>#N/A</v>
      </c>
    </row>
    <row r="7" spans="1:6">
      <c r="E7" t="e">
        <f>NA()</f>
        <v>#N/A</v>
      </c>
    </row>
    <row r="8" spans="1:6">
      <c r="E8" t="e">
        <f>NA()</f>
        <v>#N/A</v>
      </c>
    </row>
    <row r="9" spans="1:6" ht="15.95">
      <c r="C9" s="2" t="s">
        <v>278</v>
      </c>
      <c r="D9">
        <f>SUMPRODUCT( ((Activities[Start]&gt;=StartDateWindow)+(Activities[End]&gt;=StartDateWindow)&gt;0)*(Activities[Start]&lt;=(StartDateWindow+WindowDays-1)) )</f>
        <v>6</v>
      </c>
      <c r="E9" t="e">
        <f>NA()</f>
        <v>#N/A</v>
      </c>
    </row>
    <row r="10" spans="1:6">
      <c r="D10">
        <v>9</v>
      </c>
      <c r="E10" t="e">
        <f>NA()</f>
        <v>#N/A</v>
      </c>
    </row>
    <row r="11" spans="1:6">
      <c r="D11">
        <f>D10-MIN(D10,D9)</f>
        <v>3</v>
      </c>
      <c r="E11" t="e">
        <f>NA()</f>
        <v>#N/A</v>
      </c>
    </row>
    <row r="12" spans="1:6">
      <c r="E12" t="e">
        <f>NA()</f>
        <v>#N/A</v>
      </c>
    </row>
    <row r="13" spans="1:6">
      <c r="C13" s="2"/>
      <c r="E13" t="e">
        <f>NA()</f>
        <v>#N/A</v>
      </c>
    </row>
    <row r="14" spans="1:6">
      <c r="C14" s="2"/>
      <c r="E14" t="e">
        <f>NA()</f>
        <v>#N/A</v>
      </c>
    </row>
    <row r="15" spans="1:6">
      <c r="C15" s="2"/>
      <c r="E15">
        <f t="array" ref="E15">INDEX(Activities[Id],MATCH(1, ((Activities[Start]&gt;=StartDateWindow)+(Activities[End]&gt;=StartDateWindow)&gt;0)*(Activities[Start]&lt;=(StartDateWindow+WindowDays-1)), 0))</f>
        <v>-5</v>
      </c>
      <c r="F15" t="e">
        <f t="shared" ref="F15:F23" ca="1" si="0">OFFSET(E15,-$D$11,)</f>
        <v>#N/A</v>
      </c>
    </row>
    <row r="16" spans="1:6">
      <c r="C16" s="2"/>
      <c r="E16">
        <f t="array" ref="E16">INDEX(Activities[Id],MATCH(1, (Activities[Id]&gt;E15)*((Activities[Start]&gt;=StartDateWindow)+(Activities[End]&gt;=StartDateWindow)&gt;0)*(Activities[Start]&lt;=(StartDateWindow+WindowDays-1)), 0))</f>
        <v>-4</v>
      </c>
      <c r="F16" t="e">
        <f t="shared" ca="1" si="0"/>
        <v>#N/A</v>
      </c>
    </row>
    <row r="17" spans="1:35">
      <c r="C17" s="2"/>
      <c r="E17">
        <f t="array" ref="E17">INDEX(Activities[Id],MATCH(1, (Activities[Id]&gt;E16)*((Activities[Start]&gt;=StartDateWindow)+(Activities[End]&gt;=StartDateWindow)&gt;0)*(Activities[Start]&lt;=(StartDateWindow+WindowDays-1)), 0))</f>
        <v>-3</v>
      </c>
      <c r="F17" t="e">
        <f t="shared" ca="1" si="0"/>
        <v>#N/A</v>
      </c>
    </row>
    <row r="18" spans="1:35">
      <c r="E18">
        <f t="array" ref="E18">INDEX(Activities[Id],MATCH(1, (Activities[Id]&gt;E17)*((Activities[Start]&gt;=StartDateWindow)+(Activities[End]&gt;=StartDateWindow)&gt;0)*(Activities[Start]&lt;=(StartDateWindow+WindowDays-1)), 0))</f>
        <v>-2</v>
      </c>
      <c r="F18">
        <f t="shared" ca="1" si="0"/>
        <v>-5</v>
      </c>
    </row>
    <row r="19" spans="1:35">
      <c r="E19">
        <f t="array" ref="E19">INDEX(Activities[Id],MATCH(1, (Activities[Id]&gt;E18)*((Activities[Start]&gt;=StartDateWindow)+(Activities[End]&gt;=StartDateWindow)&gt;0)*(Activities[Start]&lt;=(StartDateWindow+WindowDays-1)), 0))</f>
        <v>0</v>
      </c>
      <c r="F19">
        <f t="shared" ca="1" si="0"/>
        <v>-4</v>
      </c>
    </row>
    <row r="20" spans="1:35">
      <c r="E20">
        <f t="array" ref="E20">INDEX(Activities[Id],MATCH(1, (Activities[Id]&gt;E19)*((Activities[Start]&gt;=StartDateWindow)+(Activities[End]&gt;=StartDateWindow)&gt;0)*(Activities[Start]&lt;=(StartDateWindow+WindowDays-1)), 0))</f>
        <v>1</v>
      </c>
      <c r="F20">
        <f t="shared" ca="1" si="0"/>
        <v>-3</v>
      </c>
    </row>
    <row r="21" spans="1:35">
      <c r="E21" t="e">
        <f t="array" ref="E21">INDEX(Activities[Id],MATCH(1, (Activities[Id]&gt;E20)*((Activities[Start]&gt;=StartDateWindow)+(Activities[End]&gt;=StartDateWindow)&gt;0)*(Activities[Start]&lt;=(StartDateWindow+WindowDays-1)), 0))</f>
        <v>#N/A</v>
      </c>
      <c r="F21">
        <f t="shared" ca="1" si="0"/>
        <v>-2</v>
      </c>
    </row>
    <row r="22" spans="1:35">
      <c r="E22" t="e">
        <f t="array" ref="E22">INDEX(Activities[Id],MATCH(1, (Activities[Id]&gt;E21)*((Activities[Start]&gt;=StartDateWindow)+(Activities[End]&gt;=StartDateWindow)&gt;0)*(Activities[Start]&lt;=(StartDateWindow+WindowDays-1)), 0))</f>
        <v>#N/A</v>
      </c>
      <c r="F22">
        <f t="shared" ca="1" si="0"/>
        <v>0</v>
      </c>
    </row>
    <row r="23" spans="1:35">
      <c r="E23" t="e">
        <f t="array" ref="E23">INDEX(Activities[Id],MATCH(1, (Activities[Id]&gt;E22)*((Activities[Start]&gt;=StartDateWindow)+(Activities[End]&gt;=StartDateWindow)&gt;0)*(Activities[Start]&lt;=(StartDateWindow+WindowDays-1)), 0))</f>
        <v>#N/A</v>
      </c>
      <c r="F23">
        <f t="shared" ca="1" si="0"/>
        <v>1</v>
      </c>
    </row>
    <row r="25" spans="1:35" ht="15.95">
      <c r="C25" t="s">
        <v>279</v>
      </c>
      <c r="D25" s="1">
        <f>StartDate+WindowOffset</f>
        <v>46076</v>
      </c>
    </row>
    <row r="26" spans="1:35" ht="15.95">
      <c r="C26" t="s">
        <v>280</v>
      </c>
      <c r="D26">
        <v>84</v>
      </c>
    </row>
    <row r="28" spans="1:35" ht="15.95">
      <c r="C28" t="s">
        <v>5</v>
      </c>
      <c r="D28" s="2">
        <f>'Project timeline'!F2</f>
        <v>45992</v>
      </c>
    </row>
    <row r="29" spans="1:35" ht="15.95">
      <c r="C29" t="s">
        <v>281</v>
      </c>
      <c r="D29">
        <v>30</v>
      </c>
    </row>
    <row r="31" spans="1:35" ht="15.95">
      <c r="A31" t="s">
        <v>282</v>
      </c>
      <c r="B31" t="s">
        <v>283</v>
      </c>
      <c r="C31" t="s">
        <v>284</v>
      </c>
      <c r="D31" t="s">
        <v>285</v>
      </c>
      <c r="E31" s="1">
        <f>StartDateWindow</f>
        <v>46076</v>
      </c>
      <c r="F31" s="1">
        <f t="shared" ref="F31:AI31" si="1">E31+1</f>
        <v>46077</v>
      </c>
      <c r="G31" s="1">
        <f t="shared" si="1"/>
        <v>46078</v>
      </c>
      <c r="H31" s="1">
        <f t="shared" si="1"/>
        <v>46079</v>
      </c>
      <c r="I31" s="1">
        <f t="shared" si="1"/>
        <v>46080</v>
      </c>
      <c r="J31" s="1">
        <f t="shared" si="1"/>
        <v>46081</v>
      </c>
      <c r="K31" s="1">
        <f t="shared" si="1"/>
        <v>46082</v>
      </c>
      <c r="L31" s="1">
        <f t="shared" si="1"/>
        <v>46083</v>
      </c>
      <c r="M31" s="1">
        <f t="shared" si="1"/>
        <v>46084</v>
      </c>
      <c r="N31" s="1">
        <f t="shared" si="1"/>
        <v>46085</v>
      </c>
      <c r="O31" s="1">
        <f t="shared" si="1"/>
        <v>46086</v>
      </c>
      <c r="P31" s="1">
        <f t="shared" si="1"/>
        <v>46087</v>
      </c>
      <c r="Q31" s="1">
        <f t="shared" si="1"/>
        <v>46088</v>
      </c>
      <c r="R31" s="1">
        <f t="shared" si="1"/>
        <v>46089</v>
      </c>
      <c r="S31" s="1">
        <f t="shared" si="1"/>
        <v>46090</v>
      </c>
      <c r="T31" s="1">
        <f t="shared" si="1"/>
        <v>46091</v>
      </c>
      <c r="U31" s="1">
        <f t="shared" si="1"/>
        <v>46092</v>
      </c>
      <c r="V31" s="1">
        <f t="shared" si="1"/>
        <v>46093</v>
      </c>
      <c r="W31" s="1">
        <f t="shared" si="1"/>
        <v>46094</v>
      </c>
      <c r="X31" s="1">
        <f t="shared" si="1"/>
        <v>46095</v>
      </c>
      <c r="Y31" s="1">
        <f t="shared" si="1"/>
        <v>46096</v>
      </c>
      <c r="Z31" s="1">
        <f t="shared" si="1"/>
        <v>46097</v>
      </c>
      <c r="AA31" s="1">
        <f t="shared" si="1"/>
        <v>46098</v>
      </c>
      <c r="AB31" s="1">
        <f t="shared" si="1"/>
        <v>46099</v>
      </c>
      <c r="AC31" s="1">
        <f t="shared" si="1"/>
        <v>46100</v>
      </c>
      <c r="AD31" s="1">
        <f t="shared" si="1"/>
        <v>46101</v>
      </c>
      <c r="AE31" s="1">
        <f t="shared" si="1"/>
        <v>46102</v>
      </c>
      <c r="AF31" s="1">
        <f t="shared" si="1"/>
        <v>46103</v>
      </c>
      <c r="AG31" s="1">
        <f t="shared" si="1"/>
        <v>46104</v>
      </c>
      <c r="AH31" s="1">
        <f t="shared" si="1"/>
        <v>46105</v>
      </c>
      <c r="AI31" s="1">
        <f t="shared" si="1"/>
        <v>46106</v>
      </c>
    </row>
    <row r="32" spans="1:35">
      <c r="A32">
        <v>11.3</v>
      </c>
      <c r="B32">
        <v>1</v>
      </c>
      <c r="C32" t="e">
        <f t="shared" ref="C32:C40" ca="1" si="2">F15</f>
        <v>#N/A</v>
      </c>
      <c r="D32" t="e">
        <f ca="1">INDEX(Activities[[Deadline ]],MATCH($C32,Activities[Id],0))</f>
        <v>#N/A</v>
      </c>
      <c r="E32" t="e">
        <f ca="1">GridCalc</f>
        <v>#N/A</v>
      </c>
      <c r="F32" t="e">
        <f ca="1">GridCalc</f>
        <v>#N/A</v>
      </c>
      <c r="G32" t="e">
        <f ca="1">GridCalc</f>
        <v>#N/A</v>
      </c>
      <c r="H32" t="e">
        <f ca="1">GridCalc</f>
        <v>#N/A</v>
      </c>
      <c r="I32" t="e">
        <f ca="1">GridCalc</f>
        <v>#N/A</v>
      </c>
      <c r="J32" t="e">
        <f ca="1">GridCalc</f>
        <v>#N/A</v>
      </c>
      <c r="K32" t="e">
        <f ca="1">GridCalc</f>
        <v>#N/A</v>
      </c>
      <c r="L32" t="e">
        <f ca="1">GridCalc</f>
        <v>#N/A</v>
      </c>
      <c r="M32" t="e">
        <f ca="1">GridCalc</f>
        <v>#N/A</v>
      </c>
      <c r="N32" t="e">
        <f ca="1">GridCalc</f>
        <v>#N/A</v>
      </c>
      <c r="O32" t="e">
        <f ca="1">GridCalc</f>
        <v>#N/A</v>
      </c>
      <c r="P32" t="e">
        <f ca="1">GridCalc</f>
        <v>#N/A</v>
      </c>
      <c r="Q32" t="e">
        <f ca="1">GridCalc</f>
        <v>#N/A</v>
      </c>
      <c r="R32" t="e">
        <f ca="1">GridCalc</f>
        <v>#N/A</v>
      </c>
      <c r="S32" t="e">
        <f ca="1">GridCalc</f>
        <v>#N/A</v>
      </c>
      <c r="T32" t="e">
        <f ca="1">GridCalc</f>
        <v>#N/A</v>
      </c>
      <c r="U32" t="e">
        <f ca="1">GridCalc</f>
        <v>#N/A</v>
      </c>
      <c r="V32" t="e">
        <f ca="1">GridCalc</f>
        <v>#N/A</v>
      </c>
      <c r="W32" t="e">
        <f ca="1">GridCalc</f>
        <v>#N/A</v>
      </c>
      <c r="X32" t="e">
        <f ca="1">GridCalc</f>
        <v>#N/A</v>
      </c>
      <c r="Y32" t="e">
        <f ca="1">GridCalc</f>
        <v>#N/A</v>
      </c>
      <c r="Z32" t="e">
        <f ca="1">GridCalc</f>
        <v>#N/A</v>
      </c>
      <c r="AA32" t="e">
        <f ca="1">GridCalc</f>
        <v>#N/A</v>
      </c>
      <c r="AB32" t="e">
        <f ca="1">GridCalc</f>
        <v>#N/A</v>
      </c>
      <c r="AC32" t="e">
        <f ca="1">GridCalc</f>
        <v>#N/A</v>
      </c>
      <c r="AD32" t="e">
        <f ca="1">GridCalc</f>
        <v>#N/A</v>
      </c>
      <c r="AE32" t="e">
        <f ca="1">GridCalc</f>
        <v>#N/A</v>
      </c>
      <c r="AF32" t="e">
        <f ca="1">GridCalc</f>
        <v>#N/A</v>
      </c>
      <c r="AG32" t="e">
        <f ca="1">GridCalc</f>
        <v>#N/A</v>
      </c>
      <c r="AH32" t="e">
        <f ca="1">GridCalc</f>
        <v>#N/A</v>
      </c>
      <c r="AI32" t="e">
        <f ca="1">GridCalc</f>
        <v>#N/A</v>
      </c>
    </row>
    <row r="33" spans="1:35">
      <c r="A33">
        <f>A32-1</f>
        <v>10.3</v>
      </c>
      <c r="B33">
        <v>2</v>
      </c>
      <c r="C33" t="e">
        <f t="shared" ca="1" si="2"/>
        <v>#N/A</v>
      </c>
      <c r="D33" t="e">
        <f ca="1">INDEX(Activities[[Deadline ]],MATCH($C33,Activities[Id],0))</f>
        <v>#N/A</v>
      </c>
      <c r="E33" t="e">
        <f ca="1">GridCalc</f>
        <v>#N/A</v>
      </c>
      <c r="F33" t="e">
        <f ca="1">GridCalc</f>
        <v>#N/A</v>
      </c>
      <c r="G33" t="e">
        <f ca="1">GridCalc</f>
        <v>#N/A</v>
      </c>
      <c r="H33" t="e">
        <f ca="1">GridCalc</f>
        <v>#N/A</v>
      </c>
      <c r="I33" t="e">
        <f ca="1">GridCalc</f>
        <v>#N/A</v>
      </c>
      <c r="J33" t="e">
        <f ca="1">GridCalc</f>
        <v>#N/A</v>
      </c>
      <c r="K33" t="e">
        <f ca="1">GridCalc</f>
        <v>#N/A</v>
      </c>
      <c r="L33" t="e">
        <f ca="1">GridCalc</f>
        <v>#N/A</v>
      </c>
      <c r="M33" t="e">
        <f ca="1">GridCalc</f>
        <v>#N/A</v>
      </c>
      <c r="N33" t="e">
        <f ca="1">GridCalc</f>
        <v>#N/A</v>
      </c>
      <c r="O33" t="e">
        <f ca="1">GridCalc</f>
        <v>#N/A</v>
      </c>
      <c r="P33" t="e">
        <f ca="1">GridCalc</f>
        <v>#N/A</v>
      </c>
      <c r="Q33" t="e">
        <f ca="1">GridCalc</f>
        <v>#N/A</v>
      </c>
      <c r="R33" t="e">
        <f ca="1">GridCalc</f>
        <v>#N/A</v>
      </c>
      <c r="S33" t="e">
        <f ca="1">GridCalc</f>
        <v>#N/A</v>
      </c>
      <c r="T33" t="e">
        <f ca="1">GridCalc</f>
        <v>#N/A</v>
      </c>
      <c r="U33" t="e">
        <f ca="1">GridCalc</f>
        <v>#N/A</v>
      </c>
      <c r="V33" t="e">
        <f ca="1">GridCalc</f>
        <v>#N/A</v>
      </c>
      <c r="W33" t="e">
        <f ca="1">GridCalc</f>
        <v>#N/A</v>
      </c>
      <c r="X33" t="e">
        <f ca="1">GridCalc</f>
        <v>#N/A</v>
      </c>
      <c r="Y33" t="e">
        <f ca="1">GridCalc</f>
        <v>#N/A</v>
      </c>
      <c r="Z33" t="e">
        <f ca="1">GridCalc</f>
        <v>#N/A</v>
      </c>
      <c r="AA33" t="e">
        <f ca="1">GridCalc</f>
        <v>#N/A</v>
      </c>
      <c r="AB33" t="e">
        <f ca="1">GridCalc</f>
        <v>#N/A</v>
      </c>
      <c r="AC33" t="e">
        <f ca="1">GridCalc</f>
        <v>#N/A</v>
      </c>
      <c r="AD33" t="e">
        <f ca="1">GridCalc</f>
        <v>#N/A</v>
      </c>
      <c r="AE33" t="e">
        <f ca="1">GridCalc</f>
        <v>#N/A</v>
      </c>
      <c r="AF33" t="e">
        <f ca="1">GridCalc</f>
        <v>#N/A</v>
      </c>
      <c r="AG33" t="e">
        <f ca="1">GridCalc</f>
        <v>#N/A</v>
      </c>
      <c r="AH33" t="e">
        <f ca="1">GridCalc</f>
        <v>#N/A</v>
      </c>
      <c r="AI33" t="e">
        <f ca="1">GridCalc</f>
        <v>#N/A</v>
      </c>
    </row>
    <row r="34" spans="1:35">
      <c r="A34">
        <f t="shared" ref="A34:A40" si="3">A33-1</f>
        <v>9.3000000000000007</v>
      </c>
      <c r="B34">
        <v>3</v>
      </c>
      <c r="C34" t="e">
        <f t="shared" ca="1" si="2"/>
        <v>#N/A</v>
      </c>
      <c r="D34" t="e">
        <f ca="1">INDEX(Activities[[Deadline ]],MATCH($C34,Activities[Id],0))</f>
        <v>#N/A</v>
      </c>
      <c r="E34" t="e">
        <f ca="1">GridCalc</f>
        <v>#N/A</v>
      </c>
      <c r="F34" t="e">
        <f ca="1">GridCalc</f>
        <v>#N/A</v>
      </c>
      <c r="G34" t="e">
        <f ca="1">GridCalc</f>
        <v>#N/A</v>
      </c>
      <c r="H34" t="e">
        <f ca="1">GridCalc</f>
        <v>#N/A</v>
      </c>
      <c r="I34" t="e">
        <f ca="1">GridCalc</f>
        <v>#N/A</v>
      </c>
      <c r="J34" t="e">
        <f ca="1">GridCalc</f>
        <v>#N/A</v>
      </c>
      <c r="K34" t="e">
        <f ca="1">GridCalc</f>
        <v>#N/A</v>
      </c>
      <c r="L34" t="e">
        <f ca="1">GridCalc</f>
        <v>#N/A</v>
      </c>
      <c r="M34" t="e">
        <f ca="1">GridCalc</f>
        <v>#N/A</v>
      </c>
      <c r="N34" t="e">
        <f ca="1">GridCalc</f>
        <v>#N/A</v>
      </c>
      <c r="O34" t="e">
        <f ca="1">GridCalc</f>
        <v>#N/A</v>
      </c>
      <c r="P34" t="e">
        <f ca="1">GridCalc</f>
        <v>#N/A</v>
      </c>
      <c r="Q34" t="e">
        <f ca="1">GridCalc</f>
        <v>#N/A</v>
      </c>
      <c r="R34" t="e">
        <f ca="1">GridCalc</f>
        <v>#N/A</v>
      </c>
      <c r="S34" t="e">
        <f ca="1">GridCalc</f>
        <v>#N/A</v>
      </c>
      <c r="T34" t="e">
        <f ca="1">GridCalc</f>
        <v>#N/A</v>
      </c>
      <c r="U34" t="e">
        <f ca="1">GridCalc</f>
        <v>#N/A</v>
      </c>
      <c r="V34" t="e">
        <f ca="1">GridCalc</f>
        <v>#N/A</v>
      </c>
      <c r="W34" t="e">
        <f ca="1">GridCalc</f>
        <v>#N/A</v>
      </c>
      <c r="X34" t="e">
        <f ca="1">GridCalc</f>
        <v>#N/A</v>
      </c>
      <c r="Y34" t="e">
        <f ca="1">GridCalc</f>
        <v>#N/A</v>
      </c>
      <c r="Z34" t="e">
        <f ca="1">GridCalc</f>
        <v>#N/A</v>
      </c>
      <c r="AA34" t="e">
        <f ca="1">GridCalc</f>
        <v>#N/A</v>
      </c>
      <c r="AB34" t="e">
        <f ca="1">GridCalc</f>
        <v>#N/A</v>
      </c>
      <c r="AC34" t="e">
        <f ca="1">GridCalc</f>
        <v>#N/A</v>
      </c>
      <c r="AD34" t="e">
        <f ca="1">GridCalc</f>
        <v>#N/A</v>
      </c>
      <c r="AE34" t="e">
        <f ca="1">GridCalc</f>
        <v>#N/A</v>
      </c>
      <c r="AF34" t="e">
        <f ca="1">GridCalc</f>
        <v>#N/A</v>
      </c>
      <c r="AG34" t="e">
        <f ca="1">GridCalc</f>
        <v>#N/A</v>
      </c>
      <c r="AH34" t="e">
        <f ca="1">GridCalc</f>
        <v>#N/A</v>
      </c>
      <c r="AI34" t="e">
        <f ca="1">GridCalc</f>
        <v>#N/A</v>
      </c>
    </row>
    <row r="35" spans="1:35" ht="32.1">
      <c r="A35">
        <f t="shared" si="3"/>
        <v>8.3000000000000007</v>
      </c>
      <c r="B35">
        <v>4</v>
      </c>
      <c r="C35">
        <f t="shared" ca="1" si="2"/>
        <v>-5</v>
      </c>
      <c r="D35" t="str">
        <f ca="1">INDEX(Activities[[Deadline ]],MATCH($C35,Activities[Id],0))</f>
        <v>Methods and data analysis due</v>
      </c>
      <c r="E35" t="e">
        <f ca="1">GridCalc</f>
        <v>#N/A</v>
      </c>
      <c r="F35" t="e">
        <f ca="1">GridCalc</f>
        <v>#N/A</v>
      </c>
      <c r="G35">
        <f ca="1">GridCalc</f>
        <v>8.3000000000000007</v>
      </c>
      <c r="H35">
        <f ca="1">GridCalc</f>
        <v>8.3000000000000007</v>
      </c>
      <c r="I35">
        <f ca="1">GridCalc</f>
        <v>8.3000000000000007</v>
      </c>
      <c r="J35">
        <f ca="1">GridCalc</f>
        <v>8.3000000000000007</v>
      </c>
      <c r="K35">
        <f ca="1">GridCalc</f>
        <v>8.3000000000000007</v>
      </c>
      <c r="L35">
        <f ca="1">GridCalc</f>
        <v>8.3000000000000007</v>
      </c>
      <c r="M35" t="e">
        <f ca="1">GridCalc</f>
        <v>#N/A</v>
      </c>
      <c r="N35" t="e">
        <f ca="1">GridCalc</f>
        <v>#N/A</v>
      </c>
      <c r="O35" t="e">
        <f ca="1">GridCalc</f>
        <v>#N/A</v>
      </c>
      <c r="P35" t="e">
        <f ca="1">GridCalc</f>
        <v>#N/A</v>
      </c>
      <c r="Q35" t="e">
        <f ca="1">GridCalc</f>
        <v>#N/A</v>
      </c>
      <c r="R35" t="e">
        <f ca="1">GridCalc</f>
        <v>#N/A</v>
      </c>
      <c r="S35" t="e">
        <f ca="1">GridCalc</f>
        <v>#N/A</v>
      </c>
      <c r="T35" t="e">
        <f ca="1">GridCalc</f>
        <v>#N/A</v>
      </c>
      <c r="U35" t="e">
        <f ca="1">GridCalc</f>
        <v>#N/A</v>
      </c>
      <c r="V35" t="e">
        <f ca="1">GridCalc</f>
        <v>#N/A</v>
      </c>
      <c r="W35" t="e">
        <f ca="1">GridCalc</f>
        <v>#N/A</v>
      </c>
      <c r="X35" t="e">
        <f ca="1">GridCalc</f>
        <v>#N/A</v>
      </c>
      <c r="Y35" t="e">
        <f ca="1">GridCalc</f>
        <v>#N/A</v>
      </c>
      <c r="Z35" t="e">
        <f ca="1">GridCalc</f>
        <v>#N/A</v>
      </c>
      <c r="AA35" t="e">
        <f ca="1">GridCalc</f>
        <v>#N/A</v>
      </c>
      <c r="AB35" t="e">
        <f ca="1">GridCalc</f>
        <v>#N/A</v>
      </c>
      <c r="AC35" t="e">
        <f ca="1">GridCalc</f>
        <v>#N/A</v>
      </c>
      <c r="AD35" t="e">
        <f ca="1">GridCalc</f>
        <v>#N/A</v>
      </c>
      <c r="AE35" t="e">
        <f ca="1">GridCalc</f>
        <v>#N/A</v>
      </c>
      <c r="AF35" t="e">
        <f ca="1">GridCalc</f>
        <v>#N/A</v>
      </c>
      <c r="AG35" t="e">
        <f ca="1">GridCalc</f>
        <v>#N/A</v>
      </c>
      <c r="AH35" t="e">
        <f ca="1">GridCalc</f>
        <v>#N/A</v>
      </c>
      <c r="AI35" t="e">
        <f ca="1">GridCalc</f>
        <v>#N/A</v>
      </c>
    </row>
    <row r="36" spans="1:35" ht="48">
      <c r="A36">
        <f t="shared" si="3"/>
        <v>7.3000000000000007</v>
      </c>
      <c r="B36">
        <v>5</v>
      </c>
      <c r="C36">
        <f t="shared" ca="1" si="2"/>
        <v>-4</v>
      </c>
      <c r="D36" t="str">
        <f ca="1">INDEX(Activities[[Deadline ]],MATCH($C36,Activities[Id],0))</f>
        <v>Formal round table meeting with mentor</v>
      </c>
      <c r="E36">
        <f ca="1">GridCalc</f>
        <v>7.3000000000000007</v>
      </c>
      <c r="F36">
        <f ca="1">GridCalc</f>
        <v>7.3000000000000007</v>
      </c>
      <c r="G36">
        <f ca="1">GridCalc</f>
        <v>7.3000000000000007</v>
      </c>
      <c r="H36">
        <f ca="1">GridCalc</f>
        <v>7.3000000000000007</v>
      </c>
      <c r="I36">
        <f ca="1">GridCalc</f>
        <v>7.3000000000000007</v>
      </c>
      <c r="J36" t="e">
        <f ca="1">GridCalc</f>
        <v>#N/A</v>
      </c>
      <c r="K36" t="e">
        <f ca="1">GridCalc</f>
        <v>#N/A</v>
      </c>
      <c r="L36" t="e">
        <f ca="1">GridCalc</f>
        <v>#N/A</v>
      </c>
      <c r="M36" t="e">
        <f ca="1">GridCalc</f>
        <v>#N/A</v>
      </c>
      <c r="N36" t="e">
        <f ca="1">GridCalc</f>
        <v>#N/A</v>
      </c>
      <c r="O36" t="e">
        <f ca="1">GridCalc</f>
        <v>#N/A</v>
      </c>
      <c r="P36" t="e">
        <f ca="1">GridCalc</f>
        <v>#N/A</v>
      </c>
      <c r="Q36" t="e">
        <f ca="1">GridCalc</f>
        <v>#N/A</v>
      </c>
      <c r="R36" t="e">
        <f ca="1">GridCalc</f>
        <v>#N/A</v>
      </c>
      <c r="S36" t="e">
        <f ca="1">GridCalc</f>
        <v>#N/A</v>
      </c>
      <c r="T36" t="e">
        <f ca="1">GridCalc</f>
        <v>#N/A</v>
      </c>
      <c r="U36" t="e">
        <f ca="1">GridCalc</f>
        <v>#N/A</v>
      </c>
      <c r="V36" t="e">
        <f ca="1">GridCalc</f>
        <v>#N/A</v>
      </c>
      <c r="W36" t="e">
        <f ca="1">GridCalc</f>
        <v>#N/A</v>
      </c>
      <c r="X36" t="e">
        <f ca="1">GridCalc</f>
        <v>#N/A</v>
      </c>
      <c r="Y36" t="e">
        <f ca="1">GridCalc</f>
        <v>#N/A</v>
      </c>
      <c r="Z36" t="e">
        <f ca="1">GridCalc</f>
        <v>#N/A</v>
      </c>
      <c r="AA36" t="e">
        <f ca="1">GridCalc</f>
        <v>#N/A</v>
      </c>
      <c r="AB36" t="e">
        <f ca="1">GridCalc</f>
        <v>#N/A</v>
      </c>
      <c r="AC36" t="e">
        <f ca="1">GridCalc</f>
        <v>#N/A</v>
      </c>
      <c r="AD36" t="e">
        <f ca="1">GridCalc</f>
        <v>#N/A</v>
      </c>
      <c r="AE36" t="e">
        <f ca="1">GridCalc</f>
        <v>#N/A</v>
      </c>
      <c r="AF36" t="e">
        <f ca="1">GridCalc</f>
        <v>#N/A</v>
      </c>
      <c r="AG36" t="e">
        <f ca="1">GridCalc</f>
        <v>#N/A</v>
      </c>
      <c r="AH36" t="e">
        <f ca="1">GridCalc</f>
        <v>#N/A</v>
      </c>
      <c r="AI36" t="e">
        <f ca="1">GridCalc</f>
        <v>#N/A</v>
      </c>
    </row>
    <row r="37" spans="1:35" ht="15.95">
      <c r="A37">
        <f t="shared" si="3"/>
        <v>6.3000000000000007</v>
      </c>
      <c r="B37">
        <v>6</v>
      </c>
      <c r="C37">
        <f t="shared" ca="1" si="2"/>
        <v>-3</v>
      </c>
      <c r="D37" t="str">
        <f ca="1">INDEX(Activities[[Deadline ]],MATCH($C37,Activities[Id],0))</f>
        <v>STAGE THREE</v>
      </c>
      <c r="E37">
        <f ca="1">GridCalc</f>
        <v>6.3000000000000007</v>
      </c>
      <c r="F37" t="e">
        <f ca="1">GridCalc</f>
        <v>#N/A</v>
      </c>
      <c r="G37" t="e">
        <f ca="1">GridCalc</f>
        <v>#N/A</v>
      </c>
      <c r="H37" t="e">
        <f ca="1">GridCalc</f>
        <v>#N/A</v>
      </c>
      <c r="I37" t="e">
        <f ca="1">GridCalc</f>
        <v>#N/A</v>
      </c>
      <c r="J37" t="e">
        <f ca="1">GridCalc</f>
        <v>#N/A</v>
      </c>
      <c r="K37" t="e">
        <f ca="1">GridCalc</f>
        <v>#N/A</v>
      </c>
      <c r="L37" t="e">
        <f ca="1">GridCalc</f>
        <v>#N/A</v>
      </c>
      <c r="M37" t="e">
        <f ca="1">GridCalc</f>
        <v>#N/A</v>
      </c>
      <c r="N37" t="e">
        <f ca="1">GridCalc</f>
        <v>#N/A</v>
      </c>
      <c r="O37" t="e">
        <f ca="1">GridCalc</f>
        <v>#N/A</v>
      </c>
      <c r="P37" t="e">
        <f ca="1">GridCalc</f>
        <v>#N/A</v>
      </c>
      <c r="Q37" t="e">
        <f ca="1">GridCalc</f>
        <v>#N/A</v>
      </c>
      <c r="R37" t="e">
        <f ca="1">GridCalc</f>
        <v>#N/A</v>
      </c>
      <c r="S37" t="e">
        <f ca="1">GridCalc</f>
        <v>#N/A</v>
      </c>
      <c r="T37" t="e">
        <f ca="1">GridCalc</f>
        <v>#N/A</v>
      </c>
      <c r="U37" t="e">
        <f ca="1">GridCalc</f>
        <v>#N/A</v>
      </c>
      <c r="V37" t="e">
        <f ca="1">GridCalc</f>
        <v>#N/A</v>
      </c>
      <c r="W37" t="e">
        <f ca="1">GridCalc</f>
        <v>#N/A</v>
      </c>
      <c r="X37" t="e">
        <f ca="1">GridCalc</f>
        <v>#N/A</v>
      </c>
      <c r="Y37" t="e">
        <f ca="1">GridCalc</f>
        <v>#N/A</v>
      </c>
      <c r="Z37" t="e">
        <f ca="1">GridCalc</f>
        <v>#N/A</v>
      </c>
      <c r="AA37" t="e">
        <f ca="1">GridCalc</f>
        <v>#N/A</v>
      </c>
      <c r="AB37" t="e">
        <f ca="1">GridCalc</f>
        <v>#N/A</v>
      </c>
      <c r="AC37" t="e">
        <f ca="1">GridCalc</f>
        <v>#N/A</v>
      </c>
      <c r="AD37" t="e">
        <f ca="1">GridCalc</f>
        <v>#N/A</v>
      </c>
      <c r="AE37" t="e">
        <f ca="1">GridCalc</f>
        <v>#N/A</v>
      </c>
      <c r="AF37" t="e">
        <f ca="1">GridCalc</f>
        <v>#N/A</v>
      </c>
      <c r="AG37" t="e">
        <f ca="1">GridCalc</f>
        <v>#N/A</v>
      </c>
      <c r="AH37" t="e">
        <f ca="1">GridCalc</f>
        <v>#N/A</v>
      </c>
      <c r="AI37" t="e">
        <f ca="1">GridCalc</f>
        <v>#N/A</v>
      </c>
    </row>
    <row r="38" spans="1:35" ht="32.1">
      <c r="A38">
        <f t="shared" si="3"/>
        <v>5.3000000000000007</v>
      </c>
      <c r="B38">
        <v>7</v>
      </c>
      <c r="C38">
        <f t="shared" ca="1" si="2"/>
        <v>-2</v>
      </c>
      <c r="D38" t="str">
        <f ca="1">INDEX(Activities[[Deadline ]],MATCH($C38,Activities[Id],0))</f>
        <v>Initial report due for peer review</v>
      </c>
      <c r="E38" t="e">
        <f ca="1">GridCalc</f>
        <v>#N/A</v>
      </c>
      <c r="F38" t="e">
        <f ca="1">GridCalc</f>
        <v>#N/A</v>
      </c>
      <c r="G38" t="e">
        <f ca="1">GridCalc</f>
        <v>#N/A</v>
      </c>
      <c r="H38" t="e">
        <f ca="1">GridCalc</f>
        <v>#N/A</v>
      </c>
      <c r="I38" t="e">
        <f ca="1">GridCalc</f>
        <v>#N/A</v>
      </c>
      <c r="J38" t="e">
        <f ca="1">GridCalc</f>
        <v>#N/A</v>
      </c>
      <c r="K38" t="e">
        <f ca="1">GridCalc</f>
        <v>#N/A</v>
      </c>
      <c r="L38" t="e">
        <f ca="1">GridCalc</f>
        <v>#N/A</v>
      </c>
      <c r="M38" t="e">
        <f ca="1">GridCalc</f>
        <v>#N/A</v>
      </c>
      <c r="N38" t="e">
        <f ca="1">GridCalc</f>
        <v>#N/A</v>
      </c>
      <c r="O38" t="e">
        <f ca="1">GridCalc</f>
        <v>#N/A</v>
      </c>
      <c r="P38" t="e">
        <f ca="1">GridCalc</f>
        <v>#N/A</v>
      </c>
      <c r="Q38" t="e">
        <f ca="1">GridCalc</f>
        <v>#N/A</v>
      </c>
      <c r="R38" t="e">
        <f ca="1">GridCalc</f>
        <v>#N/A</v>
      </c>
      <c r="S38" t="e">
        <f ca="1">GridCalc</f>
        <v>#N/A</v>
      </c>
      <c r="T38" t="e">
        <f ca="1">GridCalc</f>
        <v>#N/A</v>
      </c>
      <c r="U38" t="e">
        <f ca="1">GridCalc</f>
        <v>#N/A</v>
      </c>
      <c r="V38" t="e">
        <f ca="1">GridCalc</f>
        <v>#N/A</v>
      </c>
      <c r="W38" t="e">
        <f ca="1">GridCalc</f>
        <v>#N/A</v>
      </c>
      <c r="X38">
        <f ca="1">GridCalc</f>
        <v>5.3000000000000007</v>
      </c>
      <c r="Y38" t="e">
        <f ca="1">GridCalc</f>
        <v>#N/A</v>
      </c>
      <c r="Z38" t="e">
        <f ca="1">GridCalc</f>
        <v>#N/A</v>
      </c>
      <c r="AA38" t="e">
        <f ca="1">GridCalc</f>
        <v>#N/A</v>
      </c>
      <c r="AB38" t="e">
        <f ca="1">GridCalc</f>
        <v>#N/A</v>
      </c>
      <c r="AC38" t="e">
        <f ca="1">GridCalc</f>
        <v>#N/A</v>
      </c>
      <c r="AD38" t="e">
        <f ca="1">GridCalc</f>
        <v>#N/A</v>
      </c>
      <c r="AE38" t="e">
        <f ca="1">GridCalc</f>
        <v>#N/A</v>
      </c>
      <c r="AF38" t="e">
        <f ca="1">GridCalc</f>
        <v>#N/A</v>
      </c>
      <c r="AG38" t="e">
        <f ca="1">GridCalc</f>
        <v>#N/A</v>
      </c>
      <c r="AH38" t="e">
        <f ca="1">GridCalc</f>
        <v>#N/A</v>
      </c>
      <c r="AI38" t="e">
        <f ca="1">GridCalc</f>
        <v>#N/A</v>
      </c>
    </row>
    <row r="39" spans="1:35" ht="32.1">
      <c r="A39">
        <f t="shared" si="3"/>
        <v>4.3000000000000007</v>
      </c>
      <c r="B39">
        <v>8</v>
      </c>
      <c r="C39">
        <f t="shared" ca="1" si="2"/>
        <v>0</v>
      </c>
      <c r="D39" t="str">
        <f ca="1">INDEX(Activities[[Deadline ]],MATCH($C39,Activities[Id],0))</f>
        <v>Conference abstract due</v>
      </c>
      <c r="E39" t="e">
        <f ca="1">GridCalc</f>
        <v>#N/A</v>
      </c>
      <c r="F39" t="e">
        <f ca="1">GridCalc</f>
        <v>#N/A</v>
      </c>
      <c r="G39" t="e">
        <f ca="1">GridCalc</f>
        <v>#N/A</v>
      </c>
      <c r="H39" t="e">
        <f ca="1">GridCalc</f>
        <v>#N/A</v>
      </c>
      <c r="I39" t="e">
        <f ca="1">GridCalc</f>
        <v>#N/A</v>
      </c>
      <c r="J39" t="e">
        <f ca="1">GridCalc</f>
        <v>#N/A</v>
      </c>
      <c r="K39" t="e">
        <f ca="1">GridCalc</f>
        <v>#N/A</v>
      </c>
      <c r="L39" t="e">
        <f ca="1">GridCalc</f>
        <v>#N/A</v>
      </c>
      <c r="M39" t="e">
        <f ca="1">GridCalc</f>
        <v>#N/A</v>
      </c>
      <c r="N39" t="e">
        <f ca="1">GridCalc</f>
        <v>#N/A</v>
      </c>
      <c r="O39" t="e">
        <f ca="1">GridCalc</f>
        <v>#N/A</v>
      </c>
      <c r="P39" t="e">
        <f ca="1">GridCalc</f>
        <v>#N/A</v>
      </c>
      <c r="Q39" t="e">
        <f ca="1">GridCalc</f>
        <v>#N/A</v>
      </c>
      <c r="R39" t="e">
        <f ca="1">GridCalc</f>
        <v>#N/A</v>
      </c>
      <c r="S39" t="e">
        <f ca="1">GridCalc</f>
        <v>#N/A</v>
      </c>
      <c r="T39" t="e">
        <f ca="1">GridCalc</f>
        <v>#N/A</v>
      </c>
      <c r="U39" t="e">
        <f ca="1">GridCalc</f>
        <v>#N/A</v>
      </c>
      <c r="V39" t="e">
        <f ca="1">GridCalc</f>
        <v>#N/A</v>
      </c>
      <c r="W39" t="e">
        <f ca="1">GridCalc</f>
        <v>#N/A</v>
      </c>
      <c r="X39" t="e">
        <f ca="1">GridCalc</f>
        <v>#N/A</v>
      </c>
      <c r="Y39" t="e">
        <f ca="1">GridCalc</f>
        <v>#N/A</v>
      </c>
      <c r="Z39" t="e">
        <f ca="1">GridCalc</f>
        <v>#N/A</v>
      </c>
      <c r="AA39" t="e">
        <f ca="1">GridCalc</f>
        <v>#N/A</v>
      </c>
      <c r="AB39" t="e">
        <f ca="1">GridCalc</f>
        <v>#N/A</v>
      </c>
      <c r="AC39" t="e">
        <f ca="1">GridCalc</f>
        <v>#N/A</v>
      </c>
      <c r="AD39">
        <f ca="1">GridCalc</f>
        <v>4.3000000000000007</v>
      </c>
      <c r="AE39" t="e">
        <f ca="1">GridCalc</f>
        <v>#N/A</v>
      </c>
      <c r="AF39" t="e">
        <f ca="1">GridCalc</f>
        <v>#N/A</v>
      </c>
      <c r="AG39" t="e">
        <f ca="1">GridCalc</f>
        <v>#N/A</v>
      </c>
      <c r="AH39" t="e">
        <f ca="1">GridCalc</f>
        <v>#N/A</v>
      </c>
      <c r="AI39" t="e">
        <f ca="1">GridCalc</f>
        <v>#N/A</v>
      </c>
    </row>
    <row r="40" spans="1:35" ht="32.1">
      <c r="A40">
        <f t="shared" si="3"/>
        <v>3.3000000000000007</v>
      </c>
      <c r="B40">
        <v>9</v>
      </c>
      <c r="C40">
        <f t="shared" ca="1" si="2"/>
        <v>1</v>
      </c>
      <c r="D40" t="str">
        <f ca="1">INDEX(Activities[[Deadline ]],MATCH($C40,Activities[Id],0))</f>
        <v>Check in with mentor</v>
      </c>
      <c r="E40" t="e">
        <f ca="1">GridCalc</f>
        <v>#N/A</v>
      </c>
      <c r="F40" t="e">
        <f ca="1">GridCalc</f>
        <v>#N/A</v>
      </c>
      <c r="G40" t="e">
        <f ca="1">GridCalc</f>
        <v>#N/A</v>
      </c>
      <c r="H40" t="e">
        <f ca="1">GridCalc</f>
        <v>#N/A</v>
      </c>
      <c r="I40" t="e">
        <f ca="1">GridCalc</f>
        <v>#N/A</v>
      </c>
      <c r="J40" t="e">
        <f ca="1">GridCalc</f>
        <v>#N/A</v>
      </c>
      <c r="K40" t="e">
        <f ca="1">GridCalc</f>
        <v>#N/A</v>
      </c>
      <c r="L40" t="e">
        <f ca="1">GridCalc</f>
        <v>#N/A</v>
      </c>
      <c r="M40" t="e">
        <f ca="1">GridCalc</f>
        <v>#N/A</v>
      </c>
      <c r="N40" t="e">
        <f ca="1">GridCalc</f>
        <v>#N/A</v>
      </c>
      <c r="O40" t="e">
        <f ca="1">GridCalc</f>
        <v>#N/A</v>
      </c>
      <c r="P40" t="e">
        <f ca="1">GridCalc</f>
        <v>#N/A</v>
      </c>
      <c r="Q40" t="e">
        <f ca="1">GridCalc</f>
        <v>#N/A</v>
      </c>
      <c r="R40" t="e">
        <f ca="1">GridCalc</f>
        <v>#N/A</v>
      </c>
      <c r="S40" t="e">
        <f ca="1">GridCalc</f>
        <v>#N/A</v>
      </c>
      <c r="T40" t="e">
        <f ca="1">GridCalc</f>
        <v>#N/A</v>
      </c>
      <c r="U40" t="e">
        <f ca="1">GridCalc</f>
        <v>#N/A</v>
      </c>
      <c r="V40" t="e">
        <f ca="1">GridCalc</f>
        <v>#N/A</v>
      </c>
      <c r="W40" t="e">
        <f ca="1">GridCalc</f>
        <v>#N/A</v>
      </c>
      <c r="X40" t="e">
        <f ca="1">GridCalc</f>
        <v>#N/A</v>
      </c>
      <c r="Y40" t="e">
        <f ca="1">GridCalc</f>
        <v>#N/A</v>
      </c>
      <c r="Z40">
        <f ca="1">GridCalc</f>
        <v>3.3000000000000007</v>
      </c>
      <c r="AA40">
        <f ca="1">GridCalc</f>
        <v>3.3000000000000007</v>
      </c>
      <c r="AB40">
        <f ca="1">GridCalc</f>
        <v>3.3000000000000007</v>
      </c>
      <c r="AC40">
        <f ca="1">GridCalc</f>
        <v>3.3000000000000007</v>
      </c>
      <c r="AD40">
        <f ca="1">GridCalc</f>
        <v>3.3000000000000007</v>
      </c>
      <c r="AE40" t="e">
        <f ca="1">GridCalc</f>
        <v>#N/A</v>
      </c>
      <c r="AF40" t="e">
        <f ca="1">GridCalc</f>
        <v>#N/A</v>
      </c>
      <c r="AG40" t="e">
        <f ca="1">GridCalc</f>
        <v>#N/A</v>
      </c>
      <c r="AH40" t="e">
        <f ca="1">GridCalc</f>
        <v>#N/A</v>
      </c>
      <c r="AI40" t="e">
        <f ca="1">GridCalc</f>
        <v>#N/A</v>
      </c>
    </row>
    <row r="43" spans="1:35">
      <c r="E43" s="1">
        <f>E31</f>
        <v>46076</v>
      </c>
      <c r="F43" s="1">
        <f t="shared" ref="F43:AH43" si="4">F31</f>
        <v>46077</v>
      </c>
      <c r="G43" s="1">
        <f t="shared" si="4"/>
        <v>46078</v>
      </c>
      <c r="H43" s="1">
        <f t="shared" si="4"/>
        <v>46079</v>
      </c>
      <c r="I43" s="1">
        <f t="shared" si="4"/>
        <v>46080</v>
      </c>
      <c r="J43" s="1">
        <f t="shared" si="4"/>
        <v>46081</v>
      </c>
      <c r="K43" s="1">
        <f t="shared" si="4"/>
        <v>46082</v>
      </c>
      <c r="L43" s="1">
        <f t="shared" si="4"/>
        <v>46083</v>
      </c>
      <c r="M43" s="1">
        <f t="shared" si="4"/>
        <v>46084</v>
      </c>
      <c r="N43" s="1">
        <f t="shared" si="4"/>
        <v>46085</v>
      </c>
      <c r="O43" s="1">
        <f t="shared" si="4"/>
        <v>46086</v>
      </c>
      <c r="P43" s="1">
        <f t="shared" si="4"/>
        <v>46087</v>
      </c>
      <c r="Q43" s="1">
        <f t="shared" si="4"/>
        <v>46088</v>
      </c>
      <c r="R43" s="1">
        <f t="shared" si="4"/>
        <v>46089</v>
      </c>
      <c r="S43" s="1">
        <f t="shared" si="4"/>
        <v>46090</v>
      </c>
      <c r="T43" s="1">
        <f t="shared" si="4"/>
        <v>46091</v>
      </c>
      <c r="U43" s="1">
        <f t="shared" si="4"/>
        <v>46092</v>
      </c>
      <c r="V43" s="1">
        <f t="shared" si="4"/>
        <v>46093</v>
      </c>
      <c r="W43" s="1">
        <f t="shared" si="4"/>
        <v>46094</v>
      </c>
      <c r="X43" s="1">
        <f t="shared" si="4"/>
        <v>46095</v>
      </c>
      <c r="Y43" s="1">
        <f t="shared" si="4"/>
        <v>46096</v>
      </c>
      <c r="Z43" s="1">
        <f t="shared" si="4"/>
        <v>46097</v>
      </c>
      <c r="AA43" s="1">
        <f t="shared" si="4"/>
        <v>46098</v>
      </c>
      <c r="AB43" s="1">
        <f t="shared" si="4"/>
        <v>46099</v>
      </c>
      <c r="AC43" s="1">
        <f t="shared" si="4"/>
        <v>46100</v>
      </c>
      <c r="AD43" s="1">
        <f t="shared" si="4"/>
        <v>46101</v>
      </c>
      <c r="AE43" s="1">
        <f t="shared" si="4"/>
        <v>46102</v>
      </c>
      <c r="AF43" s="1">
        <f t="shared" si="4"/>
        <v>46103</v>
      </c>
      <c r="AG43" s="1">
        <f t="shared" si="4"/>
        <v>46104</v>
      </c>
      <c r="AH43" s="1">
        <f t="shared" si="4"/>
        <v>46105</v>
      </c>
    </row>
    <row r="44" spans="1:35">
      <c r="C44" t="e">
        <f ca="1">C32</f>
        <v>#N/A</v>
      </c>
      <c r="D44" t="e">
        <f ca="1">UPPER(INDEX(Activities[[Deadline ]],MATCH($C44,Activities[Id],0)))</f>
        <v>#N/A</v>
      </c>
      <c r="E44" t="e">
        <f t="shared" ref="E44:AH44" ca="1" si="5">IF(ISERROR(F32),E32,NA())</f>
        <v>#N/A</v>
      </c>
      <c r="F44" t="e">
        <f t="shared" ca="1" si="5"/>
        <v>#N/A</v>
      </c>
      <c r="G44" t="e">
        <f t="shared" ca="1" si="5"/>
        <v>#N/A</v>
      </c>
      <c r="H44" t="e">
        <f t="shared" ca="1" si="5"/>
        <v>#N/A</v>
      </c>
      <c r="I44" t="e">
        <f t="shared" ca="1" si="5"/>
        <v>#N/A</v>
      </c>
      <c r="J44" t="e">
        <f t="shared" ca="1" si="5"/>
        <v>#N/A</v>
      </c>
      <c r="K44" t="e">
        <f t="shared" ca="1" si="5"/>
        <v>#N/A</v>
      </c>
      <c r="L44" t="e">
        <f t="shared" ca="1" si="5"/>
        <v>#N/A</v>
      </c>
      <c r="M44" t="e">
        <f t="shared" ca="1" si="5"/>
        <v>#N/A</v>
      </c>
      <c r="N44" t="e">
        <f t="shared" ca="1" si="5"/>
        <v>#N/A</v>
      </c>
      <c r="O44" t="e">
        <f t="shared" ca="1" si="5"/>
        <v>#N/A</v>
      </c>
      <c r="P44" t="e">
        <f t="shared" ca="1" si="5"/>
        <v>#N/A</v>
      </c>
      <c r="Q44" t="e">
        <f t="shared" ca="1" si="5"/>
        <v>#N/A</v>
      </c>
      <c r="R44" t="e">
        <f t="shared" ca="1" si="5"/>
        <v>#N/A</v>
      </c>
      <c r="S44" t="e">
        <f t="shared" ca="1" si="5"/>
        <v>#N/A</v>
      </c>
      <c r="T44" t="e">
        <f t="shared" ca="1" si="5"/>
        <v>#N/A</v>
      </c>
      <c r="U44" t="e">
        <f t="shared" ca="1" si="5"/>
        <v>#N/A</v>
      </c>
      <c r="V44" t="e">
        <f t="shared" ca="1" si="5"/>
        <v>#N/A</v>
      </c>
      <c r="W44" t="e">
        <f t="shared" ca="1" si="5"/>
        <v>#N/A</v>
      </c>
      <c r="X44" t="e">
        <f t="shared" ca="1" si="5"/>
        <v>#N/A</v>
      </c>
      <c r="Y44" t="e">
        <f t="shared" ca="1" si="5"/>
        <v>#N/A</v>
      </c>
      <c r="Z44" t="e">
        <f t="shared" ca="1" si="5"/>
        <v>#N/A</v>
      </c>
      <c r="AA44" t="e">
        <f t="shared" ca="1" si="5"/>
        <v>#N/A</v>
      </c>
      <c r="AB44" t="e">
        <f t="shared" ca="1" si="5"/>
        <v>#N/A</v>
      </c>
      <c r="AC44" t="e">
        <f t="shared" ca="1" si="5"/>
        <v>#N/A</v>
      </c>
      <c r="AD44" t="e">
        <f t="shared" ca="1" si="5"/>
        <v>#N/A</v>
      </c>
      <c r="AE44" t="e">
        <f t="shared" ca="1" si="5"/>
        <v>#N/A</v>
      </c>
      <c r="AF44" t="e">
        <f t="shared" ca="1" si="5"/>
        <v>#N/A</v>
      </c>
      <c r="AG44" t="e">
        <f t="shared" ca="1" si="5"/>
        <v>#N/A</v>
      </c>
      <c r="AH44" t="e">
        <f t="shared" ca="1" si="5"/>
        <v>#N/A</v>
      </c>
    </row>
    <row r="45" spans="1:35">
      <c r="C45" t="e">
        <f t="shared" ref="C45:C52" ca="1" si="6">C33</f>
        <v>#N/A</v>
      </c>
      <c r="D45" t="e">
        <f ca="1">UPPER(INDEX(Activities[[Deadline ]],MATCH($C45,Activities[Id],0)))</f>
        <v>#N/A</v>
      </c>
      <c r="E45" t="e">
        <f t="shared" ref="E45:AH45" ca="1" si="7">IF(ISERROR(F33),E33,NA())</f>
        <v>#N/A</v>
      </c>
      <c r="F45" t="e">
        <f t="shared" ca="1" si="7"/>
        <v>#N/A</v>
      </c>
      <c r="G45" t="e">
        <f t="shared" ca="1" si="7"/>
        <v>#N/A</v>
      </c>
      <c r="H45" t="e">
        <f t="shared" ca="1" si="7"/>
        <v>#N/A</v>
      </c>
      <c r="I45" t="e">
        <f t="shared" ca="1" si="7"/>
        <v>#N/A</v>
      </c>
      <c r="J45" t="e">
        <f t="shared" ca="1" si="7"/>
        <v>#N/A</v>
      </c>
      <c r="K45" t="e">
        <f t="shared" ca="1" si="7"/>
        <v>#N/A</v>
      </c>
      <c r="L45" t="e">
        <f t="shared" ca="1" si="7"/>
        <v>#N/A</v>
      </c>
      <c r="M45" t="e">
        <f t="shared" ca="1" si="7"/>
        <v>#N/A</v>
      </c>
      <c r="N45" t="e">
        <f t="shared" ca="1" si="7"/>
        <v>#N/A</v>
      </c>
      <c r="O45" t="e">
        <f t="shared" ca="1" si="7"/>
        <v>#N/A</v>
      </c>
      <c r="P45" t="e">
        <f t="shared" ca="1" si="7"/>
        <v>#N/A</v>
      </c>
      <c r="Q45" t="e">
        <f t="shared" ca="1" si="7"/>
        <v>#N/A</v>
      </c>
      <c r="R45" t="e">
        <f t="shared" ca="1" si="7"/>
        <v>#N/A</v>
      </c>
      <c r="S45" t="e">
        <f t="shared" ca="1" si="7"/>
        <v>#N/A</v>
      </c>
      <c r="T45" t="e">
        <f t="shared" ca="1" si="7"/>
        <v>#N/A</v>
      </c>
      <c r="U45" t="e">
        <f t="shared" ca="1" si="7"/>
        <v>#N/A</v>
      </c>
      <c r="V45" t="e">
        <f t="shared" ca="1" si="7"/>
        <v>#N/A</v>
      </c>
      <c r="W45" t="e">
        <f t="shared" ca="1" si="7"/>
        <v>#N/A</v>
      </c>
      <c r="X45" t="e">
        <f t="shared" ca="1" si="7"/>
        <v>#N/A</v>
      </c>
      <c r="Y45" t="e">
        <f t="shared" ca="1" si="7"/>
        <v>#N/A</v>
      </c>
      <c r="Z45" t="e">
        <f t="shared" ca="1" si="7"/>
        <v>#N/A</v>
      </c>
      <c r="AA45" t="e">
        <f t="shared" ca="1" si="7"/>
        <v>#N/A</v>
      </c>
      <c r="AB45" t="e">
        <f t="shared" ca="1" si="7"/>
        <v>#N/A</v>
      </c>
      <c r="AC45" t="e">
        <f t="shared" ca="1" si="7"/>
        <v>#N/A</v>
      </c>
      <c r="AD45" t="e">
        <f t="shared" ca="1" si="7"/>
        <v>#N/A</v>
      </c>
      <c r="AE45" t="e">
        <f t="shared" ca="1" si="7"/>
        <v>#N/A</v>
      </c>
      <c r="AF45" t="e">
        <f t="shared" ca="1" si="7"/>
        <v>#N/A</v>
      </c>
      <c r="AG45" t="e">
        <f t="shared" ca="1" si="7"/>
        <v>#N/A</v>
      </c>
      <c r="AH45" t="e">
        <f t="shared" ca="1" si="7"/>
        <v>#N/A</v>
      </c>
    </row>
    <row r="46" spans="1:35">
      <c r="C46" t="e">
        <f t="shared" ca="1" si="6"/>
        <v>#N/A</v>
      </c>
      <c r="D46" t="e">
        <f ca="1">UPPER(INDEX(Activities[[Deadline ]],MATCH($C46,Activities[Id],0)))</f>
        <v>#N/A</v>
      </c>
      <c r="E46" t="e">
        <f t="shared" ref="E46:AH46" ca="1" si="8">IF(ISERROR(F34),E34,NA())</f>
        <v>#N/A</v>
      </c>
      <c r="F46" t="e">
        <f t="shared" ca="1" si="8"/>
        <v>#N/A</v>
      </c>
      <c r="G46" t="e">
        <f t="shared" ca="1" si="8"/>
        <v>#N/A</v>
      </c>
      <c r="H46" t="e">
        <f t="shared" ca="1" si="8"/>
        <v>#N/A</v>
      </c>
      <c r="I46" t="e">
        <f t="shared" ca="1" si="8"/>
        <v>#N/A</v>
      </c>
      <c r="J46" t="e">
        <f t="shared" ca="1" si="8"/>
        <v>#N/A</v>
      </c>
      <c r="K46" t="e">
        <f t="shared" ca="1" si="8"/>
        <v>#N/A</v>
      </c>
      <c r="L46" t="e">
        <f t="shared" ca="1" si="8"/>
        <v>#N/A</v>
      </c>
      <c r="M46" t="e">
        <f t="shared" ca="1" si="8"/>
        <v>#N/A</v>
      </c>
      <c r="N46" t="e">
        <f t="shared" ca="1" si="8"/>
        <v>#N/A</v>
      </c>
      <c r="O46" t="e">
        <f t="shared" ca="1" si="8"/>
        <v>#N/A</v>
      </c>
      <c r="P46" t="e">
        <f t="shared" ca="1" si="8"/>
        <v>#N/A</v>
      </c>
      <c r="Q46" t="e">
        <f t="shared" ca="1" si="8"/>
        <v>#N/A</v>
      </c>
      <c r="R46" t="e">
        <f t="shared" ca="1" si="8"/>
        <v>#N/A</v>
      </c>
      <c r="S46" t="e">
        <f t="shared" ca="1" si="8"/>
        <v>#N/A</v>
      </c>
      <c r="T46" t="e">
        <f t="shared" ca="1" si="8"/>
        <v>#N/A</v>
      </c>
      <c r="U46" t="e">
        <f t="shared" ca="1" si="8"/>
        <v>#N/A</v>
      </c>
      <c r="V46" t="e">
        <f t="shared" ca="1" si="8"/>
        <v>#N/A</v>
      </c>
      <c r="W46" t="e">
        <f t="shared" ca="1" si="8"/>
        <v>#N/A</v>
      </c>
      <c r="X46" t="e">
        <f t="shared" ca="1" si="8"/>
        <v>#N/A</v>
      </c>
      <c r="Y46" t="e">
        <f t="shared" ca="1" si="8"/>
        <v>#N/A</v>
      </c>
      <c r="Z46" t="e">
        <f t="shared" ca="1" si="8"/>
        <v>#N/A</v>
      </c>
      <c r="AA46" t="e">
        <f t="shared" ca="1" si="8"/>
        <v>#N/A</v>
      </c>
      <c r="AB46" t="e">
        <f t="shared" ca="1" si="8"/>
        <v>#N/A</v>
      </c>
      <c r="AC46" t="e">
        <f t="shared" ca="1" si="8"/>
        <v>#N/A</v>
      </c>
      <c r="AD46" t="e">
        <f t="shared" ca="1" si="8"/>
        <v>#N/A</v>
      </c>
      <c r="AE46" t="e">
        <f t="shared" ca="1" si="8"/>
        <v>#N/A</v>
      </c>
      <c r="AF46" t="e">
        <f t="shared" ca="1" si="8"/>
        <v>#N/A</v>
      </c>
      <c r="AG46" t="e">
        <f t="shared" ca="1" si="8"/>
        <v>#N/A</v>
      </c>
      <c r="AH46" t="e">
        <f t="shared" ca="1" si="8"/>
        <v>#N/A</v>
      </c>
    </row>
    <row r="47" spans="1:35" ht="32.1">
      <c r="C47">
        <f t="shared" ca="1" si="6"/>
        <v>-5</v>
      </c>
      <c r="D47" t="str">
        <f ca="1">UPPER(INDEX(Activities[[Deadline ]],MATCH($C47,Activities[Id],0)))</f>
        <v>METHODS AND DATA ANALYSIS DUE</v>
      </c>
      <c r="E47" t="e">
        <f t="shared" ref="E47:AH47" ca="1" si="9">IF(ISERROR(F35),E35,NA())</f>
        <v>#N/A</v>
      </c>
      <c r="F47" t="e">
        <f t="shared" ca="1" si="9"/>
        <v>#N/A</v>
      </c>
      <c r="G47" t="e">
        <f t="shared" ca="1" si="9"/>
        <v>#N/A</v>
      </c>
      <c r="H47" t="e">
        <f t="shared" ca="1" si="9"/>
        <v>#N/A</v>
      </c>
      <c r="I47" t="e">
        <f t="shared" ca="1" si="9"/>
        <v>#N/A</v>
      </c>
      <c r="J47" t="e">
        <f t="shared" ca="1" si="9"/>
        <v>#N/A</v>
      </c>
      <c r="K47" t="e">
        <f t="shared" ca="1" si="9"/>
        <v>#N/A</v>
      </c>
      <c r="L47">
        <f t="shared" ca="1" si="9"/>
        <v>8.3000000000000007</v>
      </c>
      <c r="M47" t="e">
        <f t="shared" ca="1" si="9"/>
        <v>#N/A</v>
      </c>
      <c r="N47" t="e">
        <f t="shared" ca="1" si="9"/>
        <v>#N/A</v>
      </c>
      <c r="O47" t="e">
        <f t="shared" ca="1" si="9"/>
        <v>#N/A</v>
      </c>
      <c r="P47" t="e">
        <f t="shared" ca="1" si="9"/>
        <v>#N/A</v>
      </c>
      <c r="Q47" t="e">
        <f t="shared" ca="1" si="9"/>
        <v>#N/A</v>
      </c>
      <c r="R47" t="e">
        <f t="shared" ca="1" si="9"/>
        <v>#N/A</v>
      </c>
      <c r="S47" t="e">
        <f t="shared" ca="1" si="9"/>
        <v>#N/A</v>
      </c>
      <c r="T47" t="e">
        <f t="shared" ca="1" si="9"/>
        <v>#N/A</v>
      </c>
      <c r="U47" t="e">
        <f t="shared" ca="1" si="9"/>
        <v>#N/A</v>
      </c>
      <c r="V47" t="e">
        <f t="shared" ca="1" si="9"/>
        <v>#N/A</v>
      </c>
      <c r="W47" t="e">
        <f t="shared" ca="1" si="9"/>
        <v>#N/A</v>
      </c>
      <c r="X47" t="e">
        <f t="shared" ca="1" si="9"/>
        <v>#N/A</v>
      </c>
      <c r="Y47" t="e">
        <f t="shared" ca="1" si="9"/>
        <v>#N/A</v>
      </c>
      <c r="Z47" t="e">
        <f t="shared" ca="1" si="9"/>
        <v>#N/A</v>
      </c>
      <c r="AA47" t="e">
        <f t="shared" ca="1" si="9"/>
        <v>#N/A</v>
      </c>
      <c r="AB47" t="e">
        <f t="shared" ca="1" si="9"/>
        <v>#N/A</v>
      </c>
      <c r="AC47" t="e">
        <f t="shared" ca="1" si="9"/>
        <v>#N/A</v>
      </c>
      <c r="AD47" t="e">
        <f t="shared" ca="1" si="9"/>
        <v>#N/A</v>
      </c>
      <c r="AE47" t="e">
        <f t="shared" ca="1" si="9"/>
        <v>#N/A</v>
      </c>
      <c r="AF47" t="e">
        <f t="shared" ca="1" si="9"/>
        <v>#N/A</v>
      </c>
      <c r="AG47" t="e">
        <f t="shared" ca="1" si="9"/>
        <v>#N/A</v>
      </c>
      <c r="AH47" t="e">
        <f t="shared" ca="1" si="9"/>
        <v>#N/A</v>
      </c>
    </row>
    <row r="48" spans="1:35" ht="48">
      <c r="C48">
        <f t="shared" ca="1" si="6"/>
        <v>-4</v>
      </c>
      <c r="D48" t="str">
        <f ca="1">UPPER(INDEX(Activities[[Deadline ]],MATCH($C48,Activities[Id],0)))</f>
        <v>FORMAL ROUND TABLE MEETING WITH MENTOR</v>
      </c>
      <c r="E48" t="e">
        <f t="shared" ref="E48:AH48" ca="1" si="10">IF(ISERROR(F36),E36,NA())</f>
        <v>#N/A</v>
      </c>
      <c r="F48" t="e">
        <f t="shared" ca="1" si="10"/>
        <v>#N/A</v>
      </c>
      <c r="G48" t="e">
        <f t="shared" ca="1" si="10"/>
        <v>#N/A</v>
      </c>
      <c r="H48" t="e">
        <f t="shared" ca="1" si="10"/>
        <v>#N/A</v>
      </c>
      <c r="I48">
        <f t="shared" ca="1" si="10"/>
        <v>7.3000000000000007</v>
      </c>
      <c r="J48" t="e">
        <f t="shared" ca="1" si="10"/>
        <v>#N/A</v>
      </c>
      <c r="K48" t="e">
        <f t="shared" ca="1" si="10"/>
        <v>#N/A</v>
      </c>
      <c r="L48" t="e">
        <f t="shared" ca="1" si="10"/>
        <v>#N/A</v>
      </c>
      <c r="M48" t="e">
        <f t="shared" ca="1" si="10"/>
        <v>#N/A</v>
      </c>
      <c r="N48" t="e">
        <f t="shared" ca="1" si="10"/>
        <v>#N/A</v>
      </c>
      <c r="O48" t="e">
        <f t="shared" ca="1" si="10"/>
        <v>#N/A</v>
      </c>
      <c r="P48" t="e">
        <f t="shared" ca="1" si="10"/>
        <v>#N/A</v>
      </c>
      <c r="Q48" t="e">
        <f t="shared" ca="1" si="10"/>
        <v>#N/A</v>
      </c>
      <c r="R48" t="e">
        <f t="shared" ca="1" si="10"/>
        <v>#N/A</v>
      </c>
      <c r="S48" t="e">
        <f t="shared" ca="1" si="10"/>
        <v>#N/A</v>
      </c>
      <c r="T48" t="e">
        <f t="shared" ca="1" si="10"/>
        <v>#N/A</v>
      </c>
      <c r="U48" t="e">
        <f t="shared" ca="1" si="10"/>
        <v>#N/A</v>
      </c>
      <c r="V48" t="e">
        <f t="shared" ca="1" si="10"/>
        <v>#N/A</v>
      </c>
      <c r="W48" t="e">
        <f t="shared" ca="1" si="10"/>
        <v>#N/A</v>
      </c>
      <c r="X48" t="e">
        <f t="shared" ca="1" si="10"/>
        <v>#N/A</v>
      </c>
      <c r="Y48" t="e">
        <f t="shared" ca="1" si="10"/>
        <v>#N/A</v>
      </c>
      <c r="Z48" t="e">
        <f t="shared" ca="1" si="10"/>
        <v>#N/A</v>
      </c>
      <c r="AA48" t="e">
        <f t="shared" ca="1" si="10"/>
        <v>#N/A</v>
      </c>
      <c r="AB48" t="e">
        <f t="shared" ca="1" si="10"/>
        <v>#N/A</v>
      </c>
      <c r="AC48" t="e">
        <f t="shared" ca="1" si="10"/>
        <v>#N/A</v>
      </c>
      <c r="AD48" t="e">
        <f t="shared" ca="1" si="10"/>
        <v>#N/A</v>
      </c>
      <c r="AE48" t="e">
        <f t="shared" ca="1" si="10"/>
        <v>#N/A</v>
      </c>
      <c r="AF48" t="e">
        <f t="shared" ca="1" si="10"/>
        <v>#N/A</v>
      </c>
      <c r="AG48" t="e">
        <f t="shared" ca="1" si="10"/>
        <v>#N/A</v>
      </c>
      <c r="AH48" t="e">
        <f t="shared" ca="1" si="10"/>
        <v>#N/A</v>
      </c>
    </row>
    <row r="49" spans="3:34" ht="15.95">
      <c r="C49">
        <f t="shared" ca="1" si="6"/>
        <v>-3</v>
      </c>
      <c r="D49" t="str">
        <f ca="1">UPPER(INDEX(Activities[[Deadline ]],MATCH($C49,Activities[Id],0)))</f>
        <v>STAGE THREE</v>
      </c>
      <c r="E49">
        <f t="shared" ref="E49:AH49" ca="1" si="11">IF(ISERROR(F37),E37,NA())</f>
        <v>6.3000000000000007</v>
      </c>
      <c r="F49" t="e">
        <f t="shared" ca="1" si="11"/>
        <v>#N/A</v>
      </c>
      <c r="G49" t="e">
        <f t="shared" ca="1" si="11"/>
        <v>#N/A</v>
      </c>
      <c r="H49" t="e">
        <f t="shared" ca="1" si="11"/>
        <v>#N/A</v>
      </c>
      <c r="I49" t="e">
        <f t="shared" ca="1" si="11"/>
        <v>#N/A</v>
      </c>
      <c r="J49" t="e">
        <f t="shared" ca="1" si="11"/>
        <v>#N/A</v>
      </c>
      <c r="K49" t="e">
        <f t="shared" ca="1" si="11"/>
        <v>#N/A</v>
      </c>
      <c r="L49" t="e">
        <f t="shared" ca="1" si="11"/>
        <v>#N/A</v>
      </c>
      <c r="M49" t="e">
        <f t="shared" ca="1" si="11"/>
        <v>#N/A</v>
      </c>
      <c r="N49" t="e">
        <f t="shared" ca="1" si="11"/>
        <v>#N/A</v>
      </c>
      <c r="O49" t="e">
        <f t="shared" ca="1" si="11"/>
        <v>#N/A</v>
      </c>
      <c r="P49" t="e">
        <f t="shared" ca="1" si="11"/>
        <v>#N/A</v>
      </c>
      <c r="Q49" t="e">
        <f t="shared" ca="1" si="11"/>
        <v>#N/A</v>
      </c>
      <c r="R49" t="e">
        <f t="shared" ca="1" si="11"/>
        <v>#N/A</v>
      </c>
      <c r="S49" t="e">
        <f t="shared" ca="1" si="11"/>
        <v>#N/A</v>
      </c>
      <c r="T49" t="e">
        <f t="shared" ca="1" si="11"/>
        <v>#N/A</v>
      </c>
      <c r="U49" t="e">
        <f t="shared" ca="1" si="11"/>
        <v>#N/A</v>
      </c>
      <c r="V49" t="e">
        <f t="shared" ca="1" si="11"/>
        <v>#N/A</v>
      </c>
      <c r="W49" t="e">
        <f t="shared" ca="1" si="11"/>
        <v>#N/A</v>
      </c>
      <c r="X49" t="e">
        <f t="shared" ca="1" si="11"/>
        <v>#N/A</v>
      </c>
      <c r="Y49" t="e">
        <f t="shared" ca="1" si="11"/>
        <v>#N/A</v>
      </c>
      <c r="Z49" t="e">
        <f t="shared" ca="1" si="11"/>
        <v>#N/A</v>
      </c>
      <c r="AA49" t="e">
        <f t="shared" ca="1" si="11"/>
        <v>#N/A</v>
      </c>
      <c r="AB49" t="e">
        <f t="shared" ca="1" si="11"/>
        <v>#N/A</v>
      </c>
      <c r="AC49" t="e">
        <f t="shared" ca="1" si="11"/>
        <v>#N/A</v>
      </c>
      <c r="AD49" t="e">
        <f t="shared" ca="1" si="11"/>
        <v>#N/A</v>
      </c>
      <c r="AE49" t="e">
        <f t="shared" ca="1" si="11"/>
        <v>#N/A</v>
      </c>
      <c r="AF49" t="e">
        <f t="shared" ca="1" si="11"/>
        <v>#N/A</v>
      </c>
      <c r="AG49" t="e">
        <f t="shared" ca="1" si="11"/>
        <v>#N/A</v>
      </c>
      <c r="AH49" t="e">
        <f t="shared" ca="1" si="11"/>
        <v>#N/A</v>
      </c>
    </row>
    <row r="50" spans="3:34" ht="32.1">
      <c r="C50">
        <f t="shared" ca="1" si="6"/>
        <v>-2</v>
      </c>
      <c r="D50" t="str">
        <f ca="1">UPPER(INDEX(Activities[[Deadline ]],MATCH($C50,Activities[Id],0)))</f>
        <v>INITIAL REPORT DUE FOR PEER REVIEW</v>
      </c>
      <c r="E50" t="e">
        <f t="shared" ref="E50:AH50" ca="1" si="12">IF(ISERROR(F38),E38,NA())</f>
        <v>#N/A</v>
      </c>
      <c r="F50" t="e">
        <f t="shared" ca="1" si="12"/>
        <v>#N/A</v>
      </c>
      <c r="G50" t="e">
        <f t="shared" ca="1" si="12"/>
        <v>#N/A</v>
      </c>
      <c r="H50" t="e">
        <f t="shared" ca="1" si="12"/>
        <v>#N/A</v>
      </c>
      <c r="I50" t="e">
        <f t="shared" ca="1" si="12"/>
        <v>#N/A</v>
      </c>
      <c r="J50" t="e">
        <f t="shared" ca="1" si="12"/>
        <v>#N/A</v>
      </c>
      <c r="K50" t="e">
        <f t="shared" ca="1" si="12"/>
        <v>#N/A</v>
      </c>
      <c r="L50" t="e">
        <f t="shared" ca="1" si="12"/>
        <v>#N/A</v>
      </c>
      <c r="M50" t="e">
        <f t="shared" ca="1" si="12"/>
        <v>#N/A</v>
      </c>
      <c r="N50" t="e">
        <f t="shared" ca="1" si="12"/>
        <v>#N/A</v>
      </c>
      <c r="O50" t="e">
        <f t="shared" ca="1" si="12"/>
        <v>#N/A</v>
      </c>
      <c r="P50" t="e">
        <f t="shared" ca="1" si="12"/>
        <v>#N/A</v>
      </c>
      <c r="Q50" t="e">
        <f t="shared" ca="1" si="12"/>
        <v>#N/A</v>
      </c>
      <c r="R50" t="e">
        <f t="shared" ca="1" si="12"/>
        <v>#N/A</v>
      </c>
      <c r="S50" t="e">
        <f t="shared" ca="1" si="12"/>
        <v>#N/A</v>
      </c>
      <c r="T50" t="e">
        <f t="shared" ca="1" si="12"/>
        <v>#N/A</v>
      </c>
      <c r="U50" t="e">
        <f t="shared" ca="1" si="12"/>
        <v>#N/A</v>
      </c>
      <c r="V50" t="e">
        <f t="shared" ca="1" si="12"/>
        <v>#N/A</v>
      </c>
      <c r="W50" t="e">
        <f t="shared" ca="1" si="12"/>
        <v>#N/A</v>
      </c>
      <c r="X50">
        <f t="shared" ca="1" si="12"/>
        <v>5.3000000000000007</v>
      </c>
      <c r="Y50" t="e">
        <f t="shared" ca="1" si="12"/>
        <v>#N/A</v>
      </c>
      <c r="Z50" t="e">
        <f t="shared" ca="1" si="12"/>
        <v>#N/A</v>
      </c>
      <c r="AA50" t="e">
        <f t="shared" ca="1" si="12"/>
        <v>#N/A</v>
      </c>
      <c r="AB50" t="e">
        <f t="shared" ca="1" si="12"/>
        <v>#N/A</v>
      </c>
      <c r="AC50" t="e">
        <f t="shared" ca="1" si="12"/>
        <v>#N/A</v>
      </c>
      <c r="AD50" t="e">
        <f t="shared" ca="1" si="12"/>
        <v>#N/A</v>
      </c>
      <c r="AE50" t="e">
        <f t="shared" ca="1" si="12"/>
        <v>#N/A</v>
      </c>
      <c r="AF50" t="e">
        <f t="shared" ca="1" si="12"/>
        <v>#N/A</v>
      </c>
      <c r="AG50" t="e">
        <f t="shared" ca="1" si="12"/>
        <v>#N/A</v>
      </c>
      <c r="AH50" t="e">
        <f t="shared" ca="1" si="12"/>
        <v>#N/A</v>
      </c>
    </row>
    <row r="51" spans="3:34" ht="32.1">
      <c r="C51">
        <f t="shared" ca="1" si="6"/>
        <v>0</v>
      </c>
      <c r="D51" t="str">
        <f ca="1">UPPER(INDEX(Activities[[Deadline ]],MATCH($C51,Activities[Id],0)))</f>
        <v>CONFERENCE ABSTRACT DUE</v>
      </c>
      <c r="E51" t="e">
        <f t="shared" ref="E51:AH51" ca="1" si="13">IF(ISERROR(F39),E39,NA())</f>
        <v>#N/A</v>
      </c>
      <c r="F51" t="e">
        <f t="shared" ca="1" si="13"/>
        <v>#N/A</v>
      </c>
      <c r="G51" t="e">
        <f t="shared" ca="1" si="13"/>
        <v>#N/A</v>
      </c>
      <c r="H51" t="e">
        <f t="shared" ca="1" si="13"/>
        <v>#N/A</v>
      </c>
      <c r="I51" t="e">
        <f t="shared" ca="1" si="13"/>
        <v>#N/A</v>
      </c>
      <c r="J51" t="e">
        <f t="shared" ca="1" si="13"/>
        <v>#N/A</v>
      </c>
      <c r="K51" t="e">
        <f t="shared" ca="1" si="13"/>
        <v>#N/A</v>
      </c>
      <c r="L51" t="e">
        <f t="shared" ca="1" si="13"/>
        <v>#N/A</v>
      </c>
      <c r="M51" t="e">
        <f t="shared" ca="1" si="13"/>
        <v>#N/A</v>
      </c>
      <c r="N51" t="e">
        <f t="shared" ca="1" si="13"/>
        <v>#N/A</v>
      </c>
      <c r="O51" t="e">
        <f t="shared" ca="1" si="13"/>
        <v>#N/A</v>
      </c>
      <c r="P51" t="e">
        <f t="shared" ca="1" si="13"/>
        <v>#N/A</v>
      </c>
      <c r="Q51" t="e">
        <f t="shared" ca="1" si="13"/>
        <v>#N/A</v>
      </c>
      <c r="R51" t="e">
        <f t="shared" ca="1" si="13"/>
        <v>#N/A</v>
      </c>
      <c r="S51" t="e">
        <f t="shared" ca="1" si="13"/>
        <v>#N/A</v>
      </c>
      <c r="T51" t="e">
        <f t="shared" ca="1" si="13"/>
        <v>#N/A</v>
      </c>
      <c r="U51" t="e">
        <f t="shared" ca="1" si="13"/>
        <v>#N/A</v>
      </c>
      <c r="V51" t="e">
        <f t="shared" ca="1" si="13"/>
        <v>#N/A</v>
      </c>
      <c r="W51" t="e">
        <f t="shared" ca="1" si="13"/>
        <v>#N/A</v>
      </c>
      <c r="X51" t="e">
        <f t="shared" ca="1" si="13"/>
        <v>#N/A</v>
      </c>
      <c r="Y51" t="e">
        <f t="shared" ca="1" si="13"/>
        <v>#N/A</v>
      </c>
      <c r="Z51" t="e">
        <f t="shared" ca="1" si="13"/>
        <v>#N/A</v>
      </c>
      <c r="AA51" t="e">
        <f t="shared" ca="1" si="13"/>
        <v>#N/A</v>
      </c>
      <c r="AB51" t="e">
        <f t="shared" ca="1" si="13"/>
        <v>#N/A</v>
      </c>
      <c r="AC51" t="e">
        <f t="shared" ca="1" si="13"/>
        <v>#N/A</v>
      </c>
      <c r="AD51">
        <f t="shared" ca="1" si="13"/>
        <v>4.3000000000000007</v>
      </c>
      <c r="AE51" t="e">
        <f t="shared" ca="1" si="13"/>
        <v>#N/A</v>
      </c>
      <c r="AF51" t="e">
        <f t="shared" ca="1" si="13"/>
        <v>#N/A</v>
      </c>
      <c r="AG51" t="e">
        <f t="shared" ca="1" si="13"/>
        <v>#N/A</v>
      </c>
      <c r="AH51" t="e">
        <f t="shared" ca="1" si="13"/>
        <v>#N/A</v>
      </c>
    </row>
    <row r="52" spans="3:34" ht="32.1">
      <c r="C52">
        <f t="shared" ca="1" si="6"/>
        <v>1</v>
      </c>
      <c r="D52" t="str">
        <f ca="1">UPPER(INDEX(Activities[[Deadline ]],MATCH($C52,Activities[Id],0)))</f>
        <v>CHECK IN WITH MENTOR</v>
      </c>
      <c r="E52" t="e">
        <f t="shared" ref="E52:AH52" ca="1" si="14">IF(ISERROR(F40),E40,NA())</f>
        <v>#N/A</v>
      </c>
      <c r="F52" t="e">
        <f t="shared" ca="1" si="14"/>
        <v>#N/A</v>
      </c>
      <c r="G52" t="e">
        <f t="shared" ca="1" si="14"/>
        <v>#N/A</v>
      </c>
      <c r="H52" t="e">
        <f t="shared" ca="1" si="14"/>
        <v>#N/A</v>
      </c>
      <c r="I52" t="e">
        <f t="shared" ca="1" si="14"/>
        <v>#N/A</v>
      </c>
      <c r="J52" t="e">
        <f t="shared" ca="1" si="14"/>
        <v>#N/A</v>
      </c>
      <c r="K52" t="e">
        <f t="shared" ca="1" si="14"/>
        <v>#N/A</v>
      </c>
      <c r="L52" t="e">
        <f t="shared" ca="1" si="14"/>
        <v>#N/A</v>
      </c>
      <c r="M52" t="e">
        <f t="shared" ca="1" si="14"/>
        <v>#N/A</v>
      </c>
      <c r="N52" t="e">
        <f t="shared" ca="1" si="14"/>
        <v>#N/A</v>
      </c>
      <c r="O52" t="e">
        <f t="shared" ca="1" si="14"/>
        <v>#N/A</v>
      </c>
      <c r="P52" t="e">
        <f t="shared" ca="1" si="14"/>
        <v>#N/A</v>
      </c>
      <c r="Q52" t="e">
        <f t="shared" ca="1" si="14"/>
        <v>#N/A</v>
      </c>
      <c r="R52" t="e">
        <f t="shared" ca="1" si="14"/>
        <v>#N/A</v>
      </c>
      <c r="S52" t="e">
        <f t="shared" ca="1" si="14"/>
        <v>#N/A</v>
      </c>
      <c r="T52" t="e">
        <f t="shared" ca="1" si="14"/>
        <v>#N/A</v>
      </c>
      <c r="U52" t="e">
        <f t="shared" ca="1" si="14"/>
        <v>#N/A</v>
      </c>
      <c r="V52" t="e">
        <f t="shared" ca="1" si="14"/>
        <v>#N/A</v>
      </c>
      <c r="W52" t="e">
        <f t="shared" ca="1" si="14"/>
        <v>#N/A</v>
      </c>
      <c r="X52" t="e">
        <f t="shared" ca="1" si="14"/>
        <v>#N/A</v>
      </c>
      <c r="Y52" t="e">
        <f t="shared" ca="1" si="14"/>
        <v>#N/A</v>
      </c>
      <c r="Z52" t="e">
        <f t="shared" ca="1" si="14"/>
        <v>#N/A</v>
      </c>
      <c r="AA52" t="e">
        <f t="shared" ca="1" si="14"/>
        <v>#N/A</v>
      </c>
      <c r="AB52" t="e">
        <f t="shared" ca="1" si="14"/>
        <v>#N/A</v>
      </c>
      <c r="AC52" t="e">
        <f t="shared" ca="1" si="14"/>
        <v>#N/A</v>
      </c>
      <c r="AD52">
        <f t="shared" ca="1" si="14"/>
        <v>3.3000000000000007</v>
      </c>
      <c r="AE52" t="e">
        <f t="shared" ca="1" si="14"/>
        <v>#N/A</v>
      </c>
      <c r="AF52" t="e">
        <f t="shared" ca="1" si="14"/>
        <v>#N/A</v>
      </c>
      <c r="AG52" t="e">
        <f t="shared" ca="1" si="14"/>
        <v>#N/A</v>
      </c>
      <c r="AH52" t="e">
        <f t="shared" ca="1" si="14"/>
        <v>#N/A</v>
      </c>
    </row>
    <row r="55" spans="3:34">
      <c r="E55" s="1">
        <f>E31</f>
        <v>46076</v>
      </c>
      <c r="F55" s="1">
        <f t="shared" ref="F55:AH55" si="15">F31</f>
        <v>46077</v>
      </c>
      <c r="G55" s="1">
        <f t="shared" si="15"/>
        <v>46078</v>
      </c>
      <c r="H55" s="1">
        <f t="shared" si="15"/>
        <v>46079</v>
      </c>
      <c r="I55" s="1">
        <f t="shared" si="15"/>
        <v>46080</v>
      </c>
      <c r="J55" s="1">
        <f t="shared" si="15"/>
        <v>46081</v>
      </c>
      <c r="K55" s="1">
        <f t="shared" si="15"/>
        <v>46082</v>
      </c>
      <c r="L55" s="1">
        <f t="shared" si="15"/>
        <v>46083</v>
      </c>
      <c r="M55" s="1">
        <f t="shared" si="15"/>
        <v>46084</v>
      </c>
      <c r="N55" s="1">
        <f t="shared" si="15"/>
        <v>46085</v>
      </c>
      <c r="O55" s="1">
        <f t="shared" si="15"/>
        <v>46086</v>
      </c>
      <c r="P55" s="1">
        <f t="shared" si="15"/>
        <v>46087</v>
      </c>
      <c r="Q55" s="1">
        <f t="shared" si="15"/>
        <v>46088</v>
      </c>
      <c r="R55" s="1">
        <f t="shared" si="15"/>
        <v>46089</v>
      </c>
      <c r="S55" s="1">
        <f t="shared" si="15"/>
        <v>46090</v>
      </c>
      <c r="T55" s="1">
        <f t="shared" si="15"/>
        <v>46091</v>
      </c>
      <c r="U55" s="1">
        <f t="shared" si="15"/>
        <v>46092</v>
      </c>
      <c r="V55" s="1">
        <f t="shared" si="15"/>
        <v>46093</v>
      </c>
      <c r="W55" s="1">
        <f t="shared" si="15"/>
        <v>46094</v>
      </c>
      <c r="X55" s="1">
        <f t="shared" si="15"/>
        <v>46095</v>
      </c>
      <c r="Y55" s="1">
        <f t="shared" si="15"/>
        <v>46096</v>
      </c>
      <c r="Z55" s="1">
        <f t="shared" si="15"/>
        <v>46097</v>
      </c>
      <c r="AA55" s="1">
        <f t="shared" si="15"/>
        <v>46098</v>
      </c>
      <c r="AB55" s="1">
        <f t="shared" si="15"/>
        <v>46099</v>
      </c>
      <c r="AC55" s="1">
        <f t="shared" si="15"/>
        <v>46100</v>
      </c>
      <c r="AD55" s="1">
        <f t="shared" si="15"/>
        <v>46101</v>
      </c>
      <c r="AE55" s="1">
        <f t="shared" si="15"/>
        <v>46102</v>
      </c>
      <c r="AF55" s="1">
        <f t="shared" si="15"/>
        <v>46103</v>
      </c>
      <c r="AG55" s="1">
        <f t="shared" si="15"/>
        <v>46104</v>
      </c>
      <c r="AH55" s="1">
        <f t="shared" si="15"/>
        <v>46105</v>
      </c>
    </row>
    <row r="56" spans="3:34" ht="15.95">
      <c r="D56" t="s">
        <v>286</v>
      </c>
      <c r="E56" t="e">
        <f t="shared" ref="E56:AH56" ca="1" si="16">IF(E55=$D$3,5,NA())</f>
        <v>#N/A</v>
      </c>
      <c r="F56" t="e">
        <f t="shared" ca="1" si="16"/>
        <v>#N/A</v>
      </c>
      <c r="G56" t="e">
        <f t="shared" ca="1" si="16"/>
        <v>#N/A</v>
      </c>
      <c r="H56" t="e">
        <f t="shared" ca="1" si="16"/>
        <v>#N/A</v>
      </c>
      <c r="I56" t="e">
        <f t="shared" ca="1" si="16"/>
        <v>#N/A</v>
      </c>
      <c r="J56" t="e">
        <f t="shared" ca="1" si="16"/>
        <v>#N/A</v>
      </c>
      <c r="K56" t="e">
        <f t="shared" ca="1" si="16"/>
        <v>#N/A</v>
      </c>
      <c r="L56" t="e">
        <f t="shared" ca="1" si="16"/>
        <v>#N/A</v>
      </c>
      <c r="M56" t="e">
        <f t="shared" ca="1" si="16"/>
        <v>#N/A</v>
      </c>
      <c r="N56" t="e">
        <f t="shared" ca="1" si="16"/>
        <v>#N/A</v>
      </c>
      <c r="O56" t="e">
        <f t="shared" ca="1" si="16"/>
        <v>#N/A</v>
      </c>
      <c r="P56" t="e">
        <f t="shared" ca="1" si="16"/>
        <v>#N/A</v>
      </c>
      <c r="Q56" t="e">
        <f t="shared" ca="1" si="16"/>
        <v>#N/A</v>
      </c>
      <c r="R56" t="e">
        <f t="shared" ca="1" si="16"/>
        <v>#N/A</v>
      </c>
      <c r="S56" t="e">
        <f t="shared" ca="1" si="16"/>
        <v>#N/A</v>
      </c>
      <c r="T56" t="e">
        <f t="shared" ca="1" si="16"/>
        <v>#N/A</v>
      </c>
      <c r="U56" t="e">
        <f t="shared" ca="1" si="16"/>
        <v>#N/A</v>
      </c>
      <c r="V56" t="e">
        <f t="shared" ca="1" si="16"/>
        <v>#N/A</v>
      </c>
      <c r="W56" t="e">
        <f t="shared" ca="1" si="16"/>
        <v>#N/A</v>
      </c>
      <c r="X56" t="e">
        <f t="shared" ca="1" si="16"/>
        <v>#N/A</v>
      </c>
      <c r="Y56" t="e">
        <f t="shared" ca="1" si="16"/>
        <v>#N/A</v>
      </c>
      <c r="Z56" t="e">
        <f t="shared" ca="1" si="16"/>
        <v>#N/A</v>
      </c>
      <c r="AA56" t="e">
        <f t="shared" ca="1" si="16"/>
        <v>#N/A</v>
      </c>
      <c r="AB56" t="e">
        <f t="shared" ca="1" si="16"/>
        <v>#N/A</v>
      </c>
      <c r="AC56" t="e">
        <f t="shared" ca="1" si="16"/>
        <v>#N/A</v>
      </c>
      <c r="AD56" t="e">
        <f t="shared" ca="1" si="16"/>
        <v>#N/A</v>
      </c>
      <c r="AE56">
        <f t="shared" ca="1" si="16"/>
        <v>5</v>
      </c>
      <c r="AF56" t="e">
        <f t="shared" ca="1" si="16"/>
        <v>#N/A</v>
      </c>
      <c r="AG56" t="e">
        <f t="shared" ca="1" si="16"/>
        <v>#N/A</v>
      </c>
      <c r="AH56" t="e">
        <f t="shared" ca="1" si="16"/>
        <v>#N/A</v>
      </c>
    </row>
    <row r="58" spans="3:34">
      <c r="D58" s="3">
        <f>DATE(YEAR(MIN(E55:AH55)),MONTH(MIN(E55:AH55)),1)</f>
        <v>46054</v>
      </c>
      <c r="E58">
        <f>IF(MEDIAN($D58,E$55,EOMONTH($D58,0))=E$55,0.5,NA())</f>
        <v>0.5</v>
      </c>
      <c r="F58">
        <f t="shared" ref="F58:AH58" si="17">IF(MEDIAN($D58,F$55,EOMONTH($D58,0))=F$55,0.5,NA())</f>
        <v>0.5</v>
      </c>
      <c r="G58">
        <f t="shared" si="17"/>
        <v>0.5</v>
      </c>
      <c r="H58">
        <f t="shared" si="17"/>
        <v>0.5</v>
      </c>
      <c r="I58">
        <f t="shared" si="17"/>
        <v>0.5</v>
      </c>
      <c r="J58">
        <f t="shared" si="17"/>
        <v>0.5</v>
      </c>
      <c r="K58" t="e">
        <f t="shared" si="17"/>
        <v>#N/A</v>
      </c>
      <c r="L58" t="e">
        <f t="shared" si="17"/>
        <v>#N/A</v>
      </c>
      <c r="M58" t="e">
        <f t="shared" si="17"/>
        <v>#N/A</v>
      </c>
      <c r="N58" t="e">
        <f t="shared" si="17"/>
        <v>#N/A</v>
      </c>
      <c r="O58" t="e">
        <f t="shared" si="17"/>
        <v>#N/A</v>
      </c>
      <c r="P58" t="e">
        <f t="shared" si="17"/>
        <v>#N/A</v>
      </c>
      <c r="Q58" t="e">
        <f t="shared" si="17"/>
        <v>#N/A</v>
      </c>
      <c r="R58" t="e">
        <f t="shared" si="17"/>
        <v>#N/A</v>
      </c>
      <c r="S58" t="e">
        <f t="shared" si="17"/>
        <v>#N/A</v>
      </c>
      <c r="T58" t="e">
        <f t="shared" si="17"/>
        <v>#N/A</v>
      </c>
      <c r="U58" t="e">
        <f t="shared" si="17"/>
        <v>#N/A</v>
      </c>
      <c r="V58" t="e">
        <f t="shared" si="17"/>
        <v>#N/A</v>
      </c>
      <c r="W58" t="e">
        <f t="shared" si="17"/>
        <v>#N/A</v>
      </c>
      <c r="X58" t="e">
        <f t="shared" si="17"/>
        <v>#N/A</v>
      </c>
      <c r="Y58" t="e">
        <f t="shared" si="17"/>
        <v>#N/A</v>
      </c>
      <c r="Z58" t="e">
        <f t="shared" si="17"/>
        <v>#N/A</v>
      </c>
      <c r="AA58" t="e">
        <f t="shared" si="17"/>
        <v>#N/A</v>
      </c>
      <c r="AB58" t="e">
        <f t="shared" si="17"/>
        <v>#N/A</v>
      </c>
      <c r="AC58" t="e">
        <f t="shared" si="17"/>
        <v>#N/A</v>
      </c>
      <c r="AD58" t="e">
        <f t="shared" si="17"/>
        <v>#N/A</v>
      </c>
      <c r="AE58" t="e">
        <f t="shared" si="17"/>
        <v>#N/A</v>
      </c>
      <c r="AF58" t="e">
        <f t="shared" si="17"/>
        <v>#N/A</v>
      </c>
      <c r="AG58" t="e">
        <f t="shared" si="17"/>
        <v>#N/A</v>
      </c>
      <c r="AH58" t="e">
        <f t="shared" si="17"/>
        <v>#N/A</v>
      </c>
    </row>
    <row r="59" spans="3:34" ht="15.95">
      <c r="D59" s="3" t="str">
        <f>TEXT(D58,"mmm yyyy") &amp; " - Top Band"</f>
        <v>Feb 2026 - Top Band</v>
      </c>
      <c r="E59">
        <f>E58+12.5</f>
        <v>13</v>
      </c>
      <c r="F59">
        <f t="shared" ref="F59:AH59" si="18">F58+12.5</f>
        <v>13</v>
      </c>
      <c r="G59">
        <f t="shared" si="18"/>
        <v>13</v>
      </c>
      <c r="H59">
        <f t="shared" si="18"/>
        <v>13</v>
      </c>
      <c r="I59">
        <f t="shared" si="18"/>
        <v>13</v>
      </c>
      <c r="J59">
        <f t="shared" si="18"/>
        <v>13</v>
      </c>
      <c r="K59" t="e">
        <f t="shared" si="18"/>
        <v>#N/A</v>
      </c>
      <c r="L59" t="e">
        <f t="shared" si="18"/>
        <v>#N/A</v>
      </c>
      <c r="M59" t="e">
        <f t="shared" si="18"/>
        <v>#N/A</v>
      </c>
      <c r="N59" t="e">
        <f t="shared" si="18"/>
        <v>#N/A</v>
      </c>
      <c r="O59" t="e">
        <f t="shared" si="18"/>
        <v>#N/A</v>
      </c>
      <c r="P59" t="e">
        <f t="shared" si="18"/>
        <v>#N/A</v>
      </c>
      <c r="Q59" t="e">
        <f t="shared" si="18"/>
        <v>#N/A</v>
      </c>
      <c r="R59" t="e">
        <f t="shared" si="18"/>
        <v>#N/A</v>
      </c>
      <c r="S59" t="e">
        <f t="shared" si="18"/>
        <v>#N/A</v>
      </c>
      <c r="T59" t="e">
        <f t="shared" si="18"/>
        <v>#N/A</v>
      </c>
      <c r="U59" t="e">
        <f t="shared" si="18"/>
        <v>#N/A</v>
      </c>
      <c r="V59" t="e">
        <f t="shared" si="18"/>
        <v>#N/A</v>
      </c>
      <c r="W59" t="e">
        <f t="shared" si="18"/>
        <v>#N/A</v>
      </c>
      <c r="X59" t="e">
        <f t="shared" si="18"/>
        <v>#N/A</v>
      </c>
      <c r="Y59" t="e">
        <f t="shared" si="18"/>
        <v>#N/A</v>
      </c>
      <c r="Z59" t="e">
        <f t="shared" si="18"/>
        <v>#N/A</v>
      </c>
      <c r="AA59" t="e">
        <f t="shared" si="18"/>
        <v>#N/A</v>
      </c>
      <c r="AB59" t="e">
        <f t="shared" si="18"/>
        <v>#N/A</v>
      </c>
      <c r="AC59" t="e">
        <f t="shared" si="18"/>
        <v>#N/A</v>
      </c>
      <c r="AD59" t="e">
        <f t="shared" si="18"/>
        <v>#N/A</v>
      </c>
      <c r="AE59" t="e">
        <f t="shared" si="18"/>
        <v>#N/A</v>
      </c>
      <c r="AF59" t="e">
        <f t="shared" si="18"/>
        <v>#N/A</v>
      </c>
      <c r="AG59" t="e">
        <f t="shared" si="18"/>
        <v>#N/A</v>
      </c>
      <c r="AH59" t="e">
        <f t="shared" si="18"/>
        <v>#N/A</v>
      </c>
    </row>
    <row r="60" spans="3:34">
      <c r="D60" s="3"/>
    </row>
    <row r="61" spans="3:34">
      <c r="D61" s="3">
        <f>EOMONTH(D58,0)+1</f>
        <v>46082</v>
      </c>
      <c r="E61" t="e">
        <f>IF(MEDIAN($D61,E$55,EOMONTH($D61,0))=E$55,0.5,NA())</f>
        <v>#N/A</v>
      </c>
      <c r="F61" t="e">
        <f t="shared" ref="F61:AH61" si="19">IF(MEDIAN($D61,F$55,EOMONTH($D61,0))=F$55,0.5,NA())</f>
        <v>#N/A</v>
      </c>
      <c r="G61" t="e">
        <f t="shared" si="19"/>
        <v>#N/A</v>
      </c>
      <c r="H61" t="e">
        <f t="shared" si="19"/>
        <v>#N/A</v>
      </c>
      <c r="I61" t="e">
        <f t="shared" si="19"/>
        <v>#N/A</v>
      </c>
      <c r="J61" t="e">
        <f t="shared" si="19"/>
        <v>#N/A</v>
      </c>
      <c r="K61">
        <f t="shared" si="19"/>
        <v>0.5</v>
      </c>
      <c r="L61">
        <f t="shared" si="19"/>
        <v>0.5</v>
      </c>
      <c r="M61">
        <f t="shared" si="19"/>
        <v>0.5</v>
      </c>
      <c r="N61">
        <f t="shared" si="19"/>
        <v>0.5</v>
      </c>
      <c r="O61">
        <f t="shared" si="19"/>
        <v>0.5</v>
      </c>
      <c r="P61">
        <f t="shared" si="19"/>
        <v>0.5</v>
      </c>
      <c r="Q61">
        <f t="shared" si="19"/>
        <v>0.5</v>
      </c>
      <c r="R61">
        <f t="shared" si="19"/>
        <v>0.5</v>
      </c>
      <c r="S61">
        <f t="shared" si="19"/>
        <v>0.5</v>
      </c>
      <c r="T61">
        <f t="shared" si="19"/>
        <v>0.5</v>
      </c>
      <c r="U61">
        <f t="shared" si="19"/>
        <v>0.5</v>
      </c>
      <c r="V61">
        <f t="shared" si="19"/>
        <v>0.5</v>
      </c>
      <c r="W61">
        <f t="shared" si="19"/>
        <v>0.5</v>
      </c>
      <c r="X61">
        <f t="shared" si="19"/>
        <v>0.5</v>
      </c>
      <c r="Y61">
        <f t="shared" si="19"/>
        <v>0.5</v>
      </c>
      <c r="Z61">
        <f t="shared" si="19"/>
        <v>0.5</v>
      </c>
      <c r="AA61">
        <f t="shared" si="19"/>
        <v>0.5</v>
      </c>
      <c r="AB61">
        <f t="shared" si="19"/>
        <v>0.5</v>
      </c>
      <c r="AC61">
        <f t="shared" si="19"/>
        <v>0.5</v>
      </c>
      <c r="AD61">
        <f t="shared" si="19"/>
        <v>0.5</v>
      </c>
      <c r="AE61">
        <f t="shared" si="19"/>
        <v>0.5</v>
      </c>
      <c r="AF61">
        <f t="shared" si="19"/>
        <v>0.5</v>
      </c>
      <c r="AG61">
        <f t="shared" si="19"/>
        <v>0.5</v>
      </c>
      <c r="AH61">
        <f t="shared" si="19"/>
        <v>0.5</v>
      </c>
    </row>
    <row r="62" spans="3:34" ht="15.95">
      <c r="D62" s="3" t="str">
        <f>TEXT(D61,"mmm yyyy") &amp; " - Top Band"</f>
        <v>Mar 2026 - Top Band</v>
      </c>
      <c r="E62" t="e">
        <f>E61+12.5</f>
        <v>#N/A</v>
      </c>
      <c r="F62" t="e">
        <f t="shared" ref="F62:AH62" si="20">F61+12.5</f>
        <v>#N/A</v>
      </c>
      <c r="G62" t="e">
        <f t="shared" si="20"/>
        <v>#N/A</v>
      </c>
      <c r="H62" t="e">
        <f t="shared" si="20"/>
        <v>#N/A</v>
      </c>
      <c r="I62" t="e">
        <f t="shared" si="20"/>
        <v>#N/A</v>
      </c>
      <c r="J62" t="e">
        <f t="shared" si="20"/>
        <v>#N/A</v>
      </c>
      <c r="K62">
        <f t="shared" si="20"/>
        <v>13</v>
      </c>
      <c r="L62">
        <f t="shared" si="20"/>
        <v>13</v>
      </c>
      <c r="M62">
        <f t="shared" si="20"/>
        <v>13</v>
      </c>
      <c r="N62">
        <f t="shared" si="20"/>
        <v>13</v>
      </c>
      <c r="O62">
        <f t="shared" si="20"/>
        <v>13</v>
      </c>
      <c r="P62">
        <f t="shared" si="20"/>
        <v>13</v>
      </c>
      <c r="Q62">
        <f t="shared" si="20"/>
        <v>13</v>
      </c>
      <c r="R62">
        <f t="shared" si="20"/>
        <v>13</v>
      </c>
      <c r="S62">
        <f t="shared" si="20"/>
        <v>13</v>
      </c>
      <c r="T62">
        <f t="shared" si="20"/>
        <v>13</v>
      </c>
      <c r="U62">
        <f t="shared" si="20"/>
        <v>13</v>
      </c>
      <c r="V62">
        <f t="shared" si="20"/>
        <v>13</v>
      </c>
      <c r="W62">
        <f t="shared" si="20"/>
        <v>13</v>
      </c>
      <c r="X62">
        <f t="shared" si="20"/>
        <v>13</v>
      </c>
      <c r="Y62">
        <f t="shared" si="20"/>
        <v>13</v>
      </c>
      <c r="Z62">
        <f t="shared" si="20"/>
        <v>13</v>
      </c>
      <c r="AA62">
        <f t="shared" si="20"/>
        <v>13</v>
      </c>
      <c r="AB62">
        <f t="shared" si="20"/>
        <v>13</v>
      </c>
      <c r="AC62">
        <f t="shared" si="20"/>
        <v>13</v>
      </c>
      <c r="AD62">
        <f t="shared" si="20"/>
        <v>13</v>
      </c>
      <c r="AE62">
        <f t="shared" si="20"/>
        <v>13</v>
      </c>
      <c r="AF62">
        <f t="shared" si="20"/>
        <v>13</v>
      </c>
      <c r="AG62">
        <f t="shared" si="20"/>
        <v>13</v>
      </c>
      <c r="AH62">
        <f t="shared" si="20"/>
        <v>13</v>
      </c>
    </row>
    <row r="63" spans="3:34">
      <c r="D63" s="3"/>
    </row>
    <row r="65" spans="4:34">
      <c r="D65" s="3">
        <f>D58+1</f>
        <v>46055</v>
      </c>
      <c r="E65" t="e">
        <f>IF(MEDIAN($D65,E$55)=E$55,0.5,NA())</f>
        <v>#N/A</v>
      </c>
      <c r="F65" t="e">
        <f t="shared" ref="F65:AH66" si="21">IF(MEDIAN($D65,F$55)=F$55,0.5,NA())</f>
        <v>#N/A</v>
      </c>
      <c r="G65" t="e">
        <f t="shared" si="21"/>
        <v>#N/A</v>
      </c>
      <c r="H65" t="e">
        <f t="shared" si="21"/>
        <v>#N/A</v>
      </c>
      <c r="I65" t="e">
        <f t="shared" si="21"/>
        <v>#N/A</v>
      </c>
      <c r="J65" t="e">
        <f t="shared" si="21"/>
        <v>#N/A</v>
      </c>
      <c r="K65" t="e">
        <f t="shared" si="21"/>
        <v>#N/A</v>
      </c>
      <c r="L65" t="e">
        <f t="shared" si="21"/>
        <v>#N/A</v>
      </c>
      <c r="M65" t="e">
        <f t="shared" si="21"/>
        <v>#N/A</v>
      </c>
      <c r="N65" t="e">
        <f t="shared" si="21"/>
        <v>#N/A</v>
      </c>
      <c r="O65" t="e">
        <f t="shared" si="21"/>
        <v>#N/A</v>
      </c>
      <c r="P65" t="e">
        <f t="shared" si="21"/>
        <v>#N/A</v>
      </c>
      <c r="Q65" t="e">
        <f t="shared" si="21"/>
        <v>#N/A</v>
      </c>
      <c r="R65" t="e">
        <f t="shared" si="21"/>
        <v>#N/A</v>
      </c>
      <c r="S65" t="e">
        <f t="shared" si="21"/>
        <v>#N/A</v>
      </c>
      <c r="T65" t="e">
        <f t="shared" si="21"/>
        <v>#N/A</v>
      </c>
      <c r="U65" t="e">
        <f t="shared" si="21"/>
        <v>#N/A</v>
      </c>
      <c r="V65" t="e">
        <f t="shared" si="21"/>
        <v>#N/A</v>
      </c>
      <c r="W65" t="e">
        <f t="shared" si="21"/>
        <v>#N/A</v>
      </c>
      <c r="X65" t="e">
        <f t="shared" si="21"/>
        <v>#N/A</v>
      </c>
      <c r="Y65" t="e">
        <f t="shared" si="21"/>
        <v>#N/A</v>
      </c>
      <c r="Z65" t="e">
        <f t="shared" si="21"/>
        <v>#N/A</v>
      </c>
      <c r="AA65" t="e">
        <f t="shared" si="21"/>
        <v>#N/A</v>
      </c>
      <c r="AB65" t="e">
        <f t="shared" si="21"/>
        <v>#N/A</v>
      </c>
      <c r="AC65" t="e">
        <f t="shared" si="21"/>
        <v>#N/A</v>
      </c>
      <c r="AD65" t="e">
        <f t="shared" si="21"/>
        <v>#N/A</v>
      </c>
      <c r="AE65" t="e">
        <f t="shared" si="21"/>
        <v>#N/A</v>
      </c>
      <c r="AF65" t="e">
        <f t="shared" si="21"/>
        <v>#N/A</v>
      </c>
      <c r="AG65" t="e">
        <f t="shared" si="21"/>
        <v>#N/A</v>
      </c>
      <c r="AH65" t="e">
        <f t="shared" si="21"/>
        <v>#N/A</v>
      </c>
    </row>
    <row r="66" spans="4:34">
      <c r="D66" s="3">
        <f>D61+1</f>
        <v>46083</v>
      </c>
      <c r="E66" t="e">
        <f>IF(MEDIAN($D66,E$55)=E$55,0.5,NA())</f>
        <v>#N/A</v>
      </c>
      <c r="F66" t="e">
        <f t="shared" si="21"/>
        <v>#N/A</v>
      </c>
      <c r="G66" t="e">
        <f t="shared" si="21"/>
        <v>#N/A</v>
      </c>
      <c r="H66" t="e">
        <f t="shared" si="21"/>
        <v>#N/A</v>
      </c>
      <c r="I66" t="e">
        <f t="shared" si="21"/>
        <v>#N/A</v>
      </c>
      <c r="J66" t="e">
        <f t="shared" si="21"/>
        <v>#N/A</v>
      </c>
      <c r="K66" t="e">
        <f t="shared" si="21"/>
        <v>#N/A</v>
      </c>
      <c r="L66">
        <f t="shared" si="21"/>
        <v>0.5</v>
      </c>
      <c r="M66" t="e">
        <f t="shared" si="21"/>
        <v>#N/A</v>
      </c>
      <c r="N66" t="e">
        <f t="shared" si="21"/>
        <v>#N/A</v>
      </c>
      <c r="O66" t="e">
        <f t="shared" si="21"/>
        <v>#N/A</v>
      </c>
      <c r="P66" t="e">
        <f t="shared" si="21"/>
        <v>#N/A</v>
      </c>
      <c r="Q66" t="e">
        <f t="shared" si="21"/>
        <v>#N/A</v>
      </c>
      <c r="R66" t="e">
        <f t="shared" si="21"/>
        <v>#N/A</v>
      </c>
      <c r="S66" t="e">
        <f t="shared" si="21"/>
        <v>#N/A</v>
      </c>
      <c r="T66" t="e">
        <f t="shared" si="21"/>
        <v>#N/A</v>
      </c>
      <c r="U66" t="e">
        <f t="shared" si="21"/>
        <v>#N/A</v>
      </c>
      <c r="V66" t="e">
        <f t="shared" si="21"/>
        <v>#N/A</v>
      </c>
      <c r="W66" t="e">
        <f t="shared" si="21"/>
        <v>#N/A</v>
      </c>
      <c r="X66" t="e">
        <f t="shared" si="21"/>
        <v>#N/A</v>
      </c>
      <c r="Y66" t="e">
        <f t="shared" si="21"/>
        <v>#N/A</v>
      </c>
      <c r="Z66" t="e">
        <f t="shared" si="21"/>
        <v>#N/A</v>
      </c>
      <c r="AA66" t="e">
        <f t="shared" si="21"/>
        <v>#N/A</v>
      </c>
      <c r="AB66" t="e">
        <f t="shared" si="21"/>
        <v>#N/A</v>
      </c>
      <c r="AC66" t="e">
        <f t="shared" si="21"/>
        <v>#N/A</v>
      </c>
      <c r="AD66" t="e">
        <f t="shared" si="21"/>
        <v>#N/A</v>
      </c>
      <c r="AE66" t="e">
        <f t="shared" si="21"/>
        <v>#N/A</v>
      </c>
      <c r="AF66" t="e">
        <f t="shared" si="21"/>
        <v>#N/A</v>
      </c>
      <c r="AG66" t="e">
        <f t="shared" si="21"/>
        <v>#N/A</v>
      </c>
      <c r="AH66" t="e">
        <f t="shared" si="21"/>
        <v>#N/A</v>
      </c>
    </row>
    <row r="69" spans="4:34">
      <c r="E69">
        <v>2.2999999999999998</v>
      </c>
      <c r="F69">
        <f>E69</f>
        <v>2.2999999999999998</v>
      </c>
      <c r="G69">
        <f t="shared" ref="G69:AH71" si="22">F69</f>
        <v>2.2999999999999998</v>
      </c>
      <c r="H69">
        <f t="shared" si="22"/>
        <v>2.2999999999999998</v>
      </c>
      <c r="I69">
        <f t="shared" si="22"/>
        <v>2.2999999999999998</v>
      </c>
      <c r="J69">
        <f t="shared" si="22"/>
        <v>2.2999999999999998</v>
      </c>
      <c r="K69">
        <f t="shared" si="22"/>
        <v>2.2999999999999998</v>
      </c>
      <c r="L69">
        <f t="shared" si="22"/>
        <v>2.2999999999999998</v>
      </c>
      <c r="M69">
        <f t="shared" si="22"/>
        <v>2.2999999999999998</v>
      </c>
      <c r="N69">
        <f t="shared" si="22"/>
        <v>2.2999999999999998</v>
      </c>
      <c r="O69">
        <f t="shared" si="22"/>
        <v>2.2999999999999998</v>
      </c>
      <c r="P69">
        <f t="shared" si="22"/>
        <v>2.2999999999999998</v>
      </c>
      <c r="Q69">
        <f t="shared" si="22"/>
        <v>2.2999999999999998</v>
      </c>
      <c r="R69">
        <f t="shared" si="22"/>
        <v>2.2999999999999998</v>
      </c>
      <c r="S69">
        <f t="shared" si="22"/>
        <v>2.2999999999999998</v>
      </c>
      <c r="T69">
        <f t="shared" si="22"/>
        <v>2.2999999999999998</v>
      </c>
      <c r="U69">
        <f t="shared" si="22"/>
        <v>2.2999999999999998</v>
      </c>
      <c r="V69">
        <f t="shared" si="22"/>
        <v>2.2999999999999998</v>
      </c>
      <c r="W69">
        <f t="shared" si="22"/>
        <v>2.2999999999999998</v>
      </c>
      <c r="X69">
        <f t="shared" si="22"/>
        <v>2.2999999999999998</v>
      </c>
      <c r="Y69">
        <f t="shared" si="22"/>
        <v>2.2999999999999998</v>
      </c>
      <c r="Z69">
        <f t="shared" si="22"/>
        <v>2.2999999999999998</v>
      </c>
      <c r="AA69">
        <f t="shared" si="22"/>
        <v>2.2999999999999998</v>
      </c>
      <c r="AB69">
        <f t="shared" si="22"/>
        <v>2.2999999999999998</v>
      </c>
      <c r="AC69">
        <f t="shared" si="22"/>
        <v>2.2999999999999998</v>
      </c>
      <c r="AD69">
        <f t="shared" si="22"/>
        <v>2.2999999999999998</v>
      </c>
      <c r="AE69">
        <f t="shared" si="22"/>
        <v>2.2999999999999998</v>
      </c>
      <c r="AF69">
        <f t="shared" si="22"/>
        <v>2.2999999999999998</v>
      </c>
      <c r="AG69">
        <f t="shared" si="22"/>
        <v>2.2999999999999998</v>
      </c>
      <c r="AH69">
        <f t="shared" si="22"/>
        <v>2.2999999999999998</v>
      </c>
    </row>
    <row r="70" spans="4:34" ht="15.95">
      <c r="D70">
        <v>3</v>
      </c>
      <c r="E70" t="str">
        <f>LEFT(UPPER(TEXT(E55,"ddd")),$D70)</f>
        <v>MON</v>
      </c>
      <c r="F70" t="str">
        <f t="shared" ref="F70:AH70" si="23">LEFT(UPPER(TEXT(F55,"ddd")),$D70)</f>
        <v>TUE</v>
      </c>
      <c r="G70" t="str">
        <f t="shared" si="23"/>
        <v>WED</v>
      </c>
      <c r="H70" t="str">
        <f t="shared" si="23"/>
        <v>THU</v>
      </c>
      <c r="I70" t="str">
        <f t="shared" si="23"/>
        <v>FRI</v>
      </c>
      <c r="J70" t="str">
        <f t="shared" si="23"/>
        <v>SAT</v>
      </c>
      <c r="K70" t="str">
        <f t="shared" si="23"/>
        <v>SUN</v>
      </c>
      <c r="L70" t="str">
        <f t="shared" si="23"/>
        <v>MON</v>
      </c>
      <c r="M70" t="str">
        <f t="shared" si="23"/>
        <v>TUE</v>
      </c>
      <c r="N70" t="str">
        <f t="shared" si="23"/>
        <v>WED</v>
      </c>
      <c r="O70" t="str">
        <f t="shared" si="23"/>
        <v>THU</v>
      </c>
      <c r="P70" t="str">
        <f t="shared" si="23"/>
        <v>FRI</v>
      </c>
      <c r="Q70" t="str">
        <f t="shared" si="23"/>
        <v>SAT</v>
      </c>
      <c r="R70" t="str">
        <f t="shared" si="23"/>
        <v>SUN</v>
      </c>
      <c r="S70" t="str">
        <f t="shared" si="23"/>
        <v>MON</v>
      </c>
      <c r="T70" t="str">
        <f t="shared" si="23"/>
        <v>TUE</v>
      </c>
      <c r="U70" t="str">
        <f t="shared" si="23"/>
        <v>WED</v>
      </c>
      <c r="V70" t="str">
        <f t="shared" si="23"/>
        <v>THU</v>
      </c>
      <c r="W70" t="str">
        <f t="shared" si="23"/>
        <v>FRI</v>
      </c>
      <c r="X70" t="str">
        <f t="shared" si="23"/>
        <v>SAT</v>
      </c>
      <c r="Y70" t="str">
        <f t="shared" si="23"/>
        <v>SUN</v>
      </c>
      <c r="Z70" t="str">
        <f t="shared" si="23"/>
        <v>MON</v>
      </c>
      <c r="AA70" t="str">
        <f t="shared" si="23"/>
        <v>TUE</v>
      </c>
      <c r="AB70" t="str">
        <f t="shared" si="23"/>
        <v>WED</v>
      </c>
      <c r="AC70" t="str">
        <f t="shared" si="23"/>
        <v>THU</v>
      </c>
      <c r="AD70" t="str">
        <f t="shared" si="23"/>
        <v>FRI</v>
      </c>
      <c r="AE70" t="str">
        <f t="shared" si="23"/>
        <v>SAT</v>
      </c>
      <c r="AF70" t="str">
        <f t="shared" si="23"/>
        <v>SUN</v>
      </c>
      <c r="AG70" t="str">
        <f t="shared" si="23"/>
        <v>MON</v>
      </c>
      <c r="AH70" t="str">
        <f t="shared" si="23"/>
        <v>TUE</v>
      </c>
    </row>
    <row r="71" spans="4:34">
      <c r="E71">
        <v>1.3</v>
      </c>
      <c r="F71">
        <f>E71</f>
        <v>1.3</v>
      </c>
      <c r="G71">
        <f t="shared" si="22"/>
        <v>1.3</v>
      </c>
      <c r="H71">
        <f t="shared" si="22"/>
        <v>1.3</v>
      </c>
      <c r="I71">
        <f t="shared" si="22"/>
        <v>1.3</v>
      </c>
      <c r="J71">
        <f t="shared" si="22"/>
        <v>1.3</v>
      </c>
      <c r="K71">
        <f t="shared" si="22"/>
        <v>1.3</v>
      </c>
      <c r="L71">
        <f t="shared" si="22"/>
        <v>1.3</v>
      </c>
      <c r="M71">
        <f t="shared" si="22"/>
        <v>1.3</v>
      </c>
      <c r="N71">
        <f t="shared" si="22"/>
        <v>1.3</v>
      </c>
      <c r="O71">
        <f t="shared" si="22"/>
        <v>1.3</v>
      </c>
      <c r="P71">
        <f t="shared" si="22"/>
        <v>1.3</v>
      </c>
      <c r="Q71">
        <f t="shared" si="22"/>
        <v>1.3</v>
      </c>
      <c r="R71">
        <f t="shared" si="22"/>
        <v>1.3</v>
      </c>
      <c r="S71">
        <f t="shared" si="22"/>
        <v>1.3</v>
      </c>
      <c r="T71">
        <f t="shared" si="22"/>
        <v>1.3</v>
      </c>
      <c r="U71">
        <f t="shared" si="22"/>
        <v>1.3</v>
      </c>
      <c r="V71">
        <f t="shared" si="22"/>
        <v>1.3</v>
      </c>
      <c r="W71">
        <f t="shared" si="22"/>
        <v>1.3</v>
      </c>
      <c r="X71">
        <f t="shared" si="22"/>
        <v>1.3</v>
      </c>
      <c r="Y71">
        <f t="shared" si="22"/>
        <v>1.3</v>
      </c>
      <c r="Z71">
        <f t="shared" si="22"/>
        <v>1.3</v>
      </c>
      <c r="AA71">
        <f t="shared" si="22"/>
        <v>1.3</v>
      </c>
      <c r="AB71">
        <f t="shared" si="22"/>
        <v>1.3</v>
      </c>
      <c r="AC71">
        <f t="shared" si="22"/>
        <v>1.3</v>
      </c>
      <c r="AD71">
        <f t="shared" si="22"/>
        <v>1.3</v>
      </c>
      <c r="AE71">
        <f t="shared" si="22"/>
        <v>1.3</v>
      </c>
      <c r="AF71">
        <f t="shared" si="22"/>
        <v>1.3</v>
      </c>
      <c r="AG71">
        <f t="shared" si="22"/>
        <v>1.3</v>
      </c>
      <c r="AH71">
        <f t="shared" si="22"/>
        <v>1.3</v>
      </c>
    </row>
    <row r="72" spans="4:34" ht="15.95">
      <c r="E72" t="str">
        <f>TEXT(E55,"dd")</f>
        <v>23</v>
      </c>
      <c r="F72" t="str">
        <f t="shared" ref="F72:AH72" si="24">TEXT(F55,"dd")</f>
        <v>24</v>
      </c>
      <c r="G72" t="str">
        <f t="shared" si="24"/>
        <v>25</v>
      </c>
      <c r="H72" t="str">
        <f t="shared" si="24"/>
        <v>26</v>
      </c>
      <c r="I72" t="str">
        <f t="shared" si="24"/>
        <v>27</v>
      </c>
      <c r="J72" t="str">
        <f t="shared" si="24"/>
        <v>28</v>
      </c>
      <c r="K72" t="str">
        <f t="shared" si="24"/>
        <v>01</v>
      </c>
      <c r="L72" t="str">
        <f t="shared" si="24"/>
        <v>02</v>
      </c>
      <c r="M72" t="str">
        <f t="shared" si="24"/>
        <v>03</v>
      </c>
      <c r="N72" t="str">
        <f t="shared" si="24"/>
        <v>04</v>
      </c>
      <c r="O72" t="str">
        <f t="shared" si="24"/>
        <v>05</v>
      </c>
      <c r="P72" t="str">
        <f t="shared" si="24"/>
        <v>06</v>
      </c>
      <c r="Q72" t="str">
        <f t="shared" si="24"/>
        <v>07</v>
      </c>
      <c r="R72" t="str">
        <f t="shared" si="24"/>
        <v>08</v>
      </c>
      <c r="S72" t="str">
        <f t="shared" si="24"/>
        <v>09</v>
      </c>
      <c r="T72" t="str">
        <f t="shared" si="24"/>
        <v>10</v>
      </c>
      <c r="U72" t="str">
        <f t="shared" si="24"/>
        <v>11</v>
      </c>
      <c r="V72" t="str">
        <f t="shared" si="24"/>
        <v>12</v>
      </c>
      <c r="W72" t="str">
        <f t="shared" si="24"/>
        <v>13</v>
      </c>
      <c r="X72" t="str">
        <f t="shared" si="24"/>
        <v>14</v>
      </c>
      <c r="Y72" t="str">
        <f t="shared" si="24"/>
        <v>15</v>
      </c>
      <c r="Z72" t="str">
        <f t="shared" si="24"/>
        <v>16</v>
      </c>
      <c r="AA72" t="str">
        <f t="shared" si="24"/>
        <v>17</v>
      </c>
      <c r="AB72" t="str">
        <f t="shared" si="24"/>
        <v>18</v>
      </c>
      <c r="AC72" t="str">
        <f t="shared" si="24"/>
        <v>19</v>
      </c>
      <c r="AD72" t="str">
        <f t="shared" si="24"/>
        <v>20</v>
      </c>
      <c r="AE72" t="str">
        <f t="shared" si="24"/>
        <v>21</v>
      </c>
      <c r="AF72" t="str">
        <f t="shared" si="24"/>
        <v>22</v>
      </c>
      <c r="AG72" t="str">
        <f t="shared" si="24"/>
        <v>23</v>
      </c>
      <c r="AH72" t="str">
        <f t="shared" si="24"/>
        <v>24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8B5DF5-9050-452B-824D-430EE0C675B4}"/>
</file>

<file path=customXml/itemProps2.xml><?xml version="1.0" encoding="utf-8"?>
<ds:datastoreItem xmlns:ds="http://schemas.openxmlformats.org/officeDocument/2006/customXml" ds:itemID="{A34675FB-CDF8-4243-9888-A100076C2DE6}"/>
</file>

<file path=customXml/itemProps3.xml><?xml version="1.0" encoding="utf-8"?>
<ds:datastoreItem xmlns:ds="http://schemas.openxmlformats.org/officeDocument/2006/customXml" ds:itemID="{E22C74C5-065B-4723-9C23-003D7A495ABE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TM02930043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2023-02-13T07:54:16Z</dcterms:created>
  <dcterms:modified xsi:type="dcterms:W3CDTF">2026-03-22T06:27:34Z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